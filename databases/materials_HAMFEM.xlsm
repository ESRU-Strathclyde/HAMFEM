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628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hb15192\Downloads\"/>
    </mc:Choice>
  </mc:AlternateContent>
  <xr:revisionPtr revIDLastSave="0" documentId="13_ncr:1_{469F1E06-7D8E-4E3E-AC61-58109C20CBBA}" xr6:coauthVersionLast="47" xr6:coauthVersionMax="47" xr10:uidLastSave="{00000000-0000-0000-0000-000000000000}"/>
  <bookViews>
    <workbookView xWindow="1395" yWindow="1305" windowWidth="24480" windowHeight="17205" tabRatio="831" activeTab="3" xr2:uid="{00000000-000D-0000-FFFF-FFFF00000000}"/>
  </bookViews>
  <sheets>
    <sheet name="diffusivity" sheetId="5" r:id="rId1"/>
    <sheet name="interface" sheetId="3" r:id="rId2"/>
    <sheet name="vapour permeability" sheetId="4" r:id="rId3"/>
    <sheet name="materials_HAMFEM" sheetId="1" r:id="rId4"/>
  </sheets>
  <externalReferences>
    <externalReference r:id="rId5"/>
  </externalReferences>
  <definedNames>
    <definedName name="a">[1]Sheet3!$B$1</definedName>
    <definedName name="b">[1]Sheet3!$B$2</definedName>
    <definedName name="cd">[1]Sheet3!$B$3</definedName>
    <definedName name="_xlnm.Print_Area" localSheetId="0">diffusivity!#REF!</definedName>
    <definedName name="_xlnm.Print_Area" localSheetId="1">interface!$E$5:$Q$89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7" i="3" l="1"/>
  <c r="AU15" i="3" s="1"/>
  <c r="C28" i="3"/>
  <c r="C26" i="3"/>
  <c r="P9" i="3" s="1"/>
  <c r="C30" i="3"/>
  <c r="C29" i="3"/>
  <c r="AT13" i="3" s="1"/>
  <c r="C31" i="3"/>
  <c r="AU13" i="3"/>
  <c r="AU17" i="3"/>
  <c r="C39" i="3"/>
  <c r="C33" i="3"/>
  <c r="C37" i="3"/>
  <c r="C34" i="3"/>
  <c r="AA8" i="3" s="1"/>
  <c r="AH8" i="3" s="1"/>
  <c r="AI8" i="3" s="1"/>
  <c r="C35" i="3"/>
  <c r="AA14" i="3" s="1"/>
  <c r="C36" i="3"/>
  <c r="AB13" i="3" s="1"/>
  <c r="C47" i="3"/>
  <c r="AF9" i="3" s="1"/>
  <c r="C44" i="3"/>
  <c r="C45" i="3"/>
  <c r="C46" i="3"/>
  <c r="C32" i="3"/>
  <c r="AT9" i="3" s="1"/>
  <c r="C51" i="3"/>
  <c r="C52" i="3"/>
  <c r="BB82" i="3" s="1"/>
  <c r="C54" i="3"/>
  <c r="BE77" i="3" s="1"/>
  <c r="C53" i="3"/>
  <c r="C55" i="3"/>
  <c r="BF173" i="3" s="1"/>
  <c r="C56" i="3"/>
  <c r="C58" i="3"/>
  <c r="C57" i="3"/>
  <c r="C59" i="3"/>
  <c r="BJ44" i="3" s="1"/>
  <c r="C60" i="3"/>
  <c r="BJ203" i="3" s="1"/>
  <c r="C62" i="3"/>
  <c r="C61" i="3"/>
  <c r="C49" i="3"/>
  <c r="AY8" i="3" s="1"/>
  <c r="C50" i="3"/>
  <c r="Y20" i="3"/>
  <c r="S90" i="3"/>
  <c r="S91" i="3"/>
  <c r="S92" i="3"/>
  <c r="F10" i="5"/>
  <c r="G10" i="5"/>
  <c r="C23" i="5"/>
  <c r="C24" i="5"/>
  <c r="C25" i="5"/>
  <c r="C26" i="5"/>
  <c r="C29" i="5"/>
  <c r="C30" i="5"/>
  <c r="J10" i="5" s="1"/>
  <c r="C31" i="5"/>
  <c r="C32" i="5"/>
  <c r="C33" i="5"/>
  <c r="M7" i="5" s="1"/>
  <c r="C34" i="5"/>
  <c r="C35" i="5"/>
  <c r="C36" i="5"/>
  <c r="C22" i="5"/>
  <c r="K6" i="5" s="1"/>
  <c r="F11" i="5"/>
  <c r="C28" i="5"/>
  <c r="G11" i="5"/>
  <c r="W5" i="5"/>
  <c r="W6" i="5"/>
  <c r="W7" i="5"/>
  <c r="W8" i="5"/>
  <c r="W9" i="5"/>
  <c r="W10" i="5"/>
  <c r="W11" i="5"/>
  <c r="W4" i="5"/>
  <c r="F4" i="5"/>
  <c r="F5" i="5"/>
  <c r="F6" i="5"/>
  <c r="G6" i="5"/>
  <c r="F7" i="5"/>
  <c r="F8" i="5"/>
  <c r="G8" i="5" s="1"/>
  <c r="F9" i="5"/>
  <c r="C27" i="5"/>
  <c r="C21" i="5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C48" i="3"/>
  <c r="BQ132" i="3" s="1"/>
  <c r="BT132" i="3" s="1"/>
  <c r="C43" i="3"/>
  <c r="C42" i="3"/>
  <c r="C41" i="3"/>
  <c r="C40" i="3"/>
  <c r="AC16" i="3" s="1"/>
  <c r="C38" i="3"/>
  <c r="C25" i="3"/>
  <c r="I14" i="3" s="1"/>
  <c r="C24" i="3"/>
  <c r="I13" i="3" s="1"/>
  <c r="C23" i="3"/>
  <c r="I12" i="3" s="1"/>
  <c r="C22" i="3"/>
  <c r="I11" i="3" s="1"/>
  <c r="C21" i="3"/>
  <c r="I10" i="3" s="1"/>
  <c r="C20" i="3"/>
  <c r="I9" i="3" s="1"/>
  <c r="C19" i="3"/>
  <c r="P13" i="3" s="1"/>
  <c r="C18" i="3"/>
  <c r="E8" i="3" s="1"/>
  <c r="Y8" i="3"/>
  <c r="Y9" i="3"/>
  <c r="Z9" i="3" s="1"/>
  <c r="Y10" i="3"/>
  <c r="Y11" i="3"/>
  <c r="Z11" i="3" s="1"/>
  <c r="Y12" i="3"/>
  <c r="Y13" i="3"/>
  <c r="Y14" i="3"/>
  <c r="Z14" i="3" s="1"/>
  <c r="Y15" i="3"/>
  <c r="AV15" i="3" s="1"/>
  <c r="Y16" i="3"/>
  <c r="AV16" i="3" s="1"/>
  <c r="Y17" i="3"/>
  <c r="Z17" i="3" s="1"/>
  <c r="Y18" i="3"/>
  <c r="Y19" i="3"/>
  <c r="AV19" i="3" s="1"/>
  <c r="Y7" i="3"/>
  <c r="AV7" i="3" s="1"/>
  <c r="G4" i="5"/>
  <c r="G7" i="5"/>
  <c r="P14" i="3"/>
  <c r="B65" i="3"/>
  <c r="BO8" i="3" s="1"/>
  <c r="Z8" i="3"/>
  <c r="B66" i="3"/>
  <c r="BO9" i="3" s="1"/>
  <c r="B67" i="3"/>
  <c r="BO10" i="3" s="1"/>
  <c r="B68" i="3"/>
  <c r="BO11" i="3" s="1"/>
  <c r="B69" i="3"/>
  <c r="BO12" i="3" s="1"/>
  <c r="Z12" i="3"/>
  <c r="B70" i="3"/>
  <c r="BO13" i="3" s="1"/>
  <c r="Z13" i="3"/>
  <c r="B71" i="3"/>
  <c r="BO14" i="3" s="1"/>
  <c r="B72" i="3"/>
  <c r="BO15" i="3" s="1"/>
  <c r="B73" i="3"/>
  <c r="BO16" i="3" s="1"/>
  <c r="B74" i="3"/>
  <c r="BO17" i="3" s="1"/>
  <c r="B75" i="3"/>
  <c r="BO18" i="3" s="1"/>
  <c r="B76" i="3"/>
  <c r="BO19" i="3" s="1"/>
  <c r="Z19" i="3"/>
  <c r="B77" i="3"/>
  <c r="BO20" i="3" s="1"/>
  <c r="Z20" i="3"/>
  <c r="B78" i="3"/>
  <c r="BO21" i="3" s="1"/>
  <c r="B79" i="3"/>
  <c r="BO22" i="3" s="1"/>
  <c r="BQ22" i="3" s="1"/>
  <c r="BT22" i="3" s="1"/>
  <c r="B80" i="3"/>
  <c r="BO23" i="3" s="1"/>
  <c r="B81" i="3"/>
  <c r="BO24" i="3" s="1"/>
  <c r="B82" i="3"/>
  <c r="BO25" i="3" s="1"/>
  <c r="B83" i="3"/>
  <c r="BO26" i="3" s="1"/>
  <c r="B84" i="3"/>
  <c r="BO27" i="3" s="1"/>
  <c r="B85" i="3"/>
  <c r="BO28" i="3" s="1"/>
  <c r="B86" i="3"/>
  <c r="BO29" i="3" s="1"/>
  <c r="B87" i="3"/>
  <c r="BO30" i="3" s="1"/>
  <c r="B88" i="3"/>
  <c r="BO31" i="3" s="1"/>
  <c r="B89" i="3"/>
  <c r="BO32" i="3" s="1"/>
  <c r="B90" i="3"/>
  <c r="BO33" i="3" s="1"/>
  <c r="B91" i="3"/>
  <c r="BO34" i="3" s="1"/>
  <c r="B92" i="3"/>
  <c r="BO35" i="3" s="1"/>
  <c r="B93" i="3"/>
  <c r="BO36" i="3" s="1"/>
  <c r="B94" i="3"/>
  <c r="BO37" i="3" s="1"/>
  <c r="B95" i="3"/>
  <c r="BO38" i="3" s="1"/>
  <c r="B96" i="3"/>
  <c r="BO39" i="3" s="1"/>
  <c r="B97" i="3"/>
  <c r="BO40" i="3" s="1"/>
  <c r="B98" i="3"/>
  <c r="BO41" i="3" s="1"/>
  <c r="B99" i="3"/>
  <c r="BO42" i="3" s="1"/>
  <c r="B100" i="3"/>
  <c r="BO43" i="3" s="1"/>
  <c r="B101" i="3"/>
  <c r="BO44" i="3" s="1"/>
  <c r="B102" i="3"/>
  <c r="BO45" i="3" s="1"/>
  <c r="B103" i="3"/>
  <c r="BO46" i="3" s="1"/>
  <c r="B104" i="3"/>
  <c r="BO47" i="3" s="1"/>
  <c r="B105" i="3"/>
  <c r="BO48" i="3" s="1"/>
  <c r="B106" i="3"/>
  <c r="BO49" i="3" s="1"/>
  <c r="B107" i="3"/>
  <c r="BO50" i="3" s="1"/>
  <c r="B108" i="3"/>
  <c r="BO51" i="3" s="1"/>
  <c r="B109" i="3"/>
  <c r="BO52" i="3" s="1"/>
  <c r="B110" i="3"/>
  <c r="BO53" i="3" s="1"/>
  <c r="B111" i="3"/>
  <c r="BO54" i="3" s="1"/>
  <c r="B112" i="3"/>
  <c r="BO55" i="3" s="1"/>
  <c r="B113" i="3"/>
  <c r="BO56" i="3" s="1"/>
  <c r="B114" i="3"/>
  <c r="BO57" i="3" s="1"/>
  <c r="B115" i="3"/>
  <c r="BO58" i="3" s="1"/>
  <c r="B116" i="3"/>
  <c r="BO59" i="3" s="1"/>
  <c r="B117" i="3"/>
  <c r="BO60" i="3" s="1"/>
  <c r="B118" i="3"/>
  <c r="BO61" i="3" s="1"/>
  <c r="B119" i="3"/>
  <c r="BO62" i="3" s="1"/>
  <c r="B120" i="3"/>
  <c r="BO63" i="3" s="1"/>
  <c r="B121" i="3"/>
  <c r="BO64" i="3" s="1"/>
  <c r="B122" i="3"/>
  <c r="BO65" i="3" s="1"/>
  <c r="B123" i="3"/>
  <c r="BO66" i="3" s="1"/>
  <c r="B124" i="3"/>
  <c r="BO67" i="3" s="1"/>
  <c r="B125" i="3"/>
  <c r="BO68" i="3" s="1"/>
  <c r="B126" i="3"/>
  <c r="BO69" i="3" s="1"/>
  <c r="B127" i="3"/>
  <c r="BO70" i="3" s="1"/>
  <c r="B128" i="3"/>
  <c r="BO71" i="3" s="1"/>
  <c r="B129" i="3"/>
  <c r="BO72" i="3" s="1"/>
  <c r="B130" i="3"/>
  <c r="BO73" i="3" s="1"/>
  <c r="B131" i="3"/>
  <c r="BO74" i="3" s="1"/>
  <c r="B132" i="3"/>
  <c r="BO75" i="3" s="1"/>
  <c r="B133" i="3"/>
  <c r="BO76" i="3" s="1"/>
  <c r="B134" i="3"/>
  <c r="BO77" i="3" s="1"/>
  <c r="B135" i="3"/>
  <c r="BO78" i="3" s="1"/>
  <c r="B136" i="3"/>
  <c r="BO79" i="3" s="1"/>
  <c r="B137" i="3"/>
  <c r="BO80" i="3" s="1"/>
  <c r="B138" i="3"/>
  <c r="BO81" i="3" s="1"/>
  <c r="B139" i="3"/>
  <c r="BO82" i="3" s="1"/>
  <c r="B140" i="3"/>
  <c r="BO83" i="3" s="1"/>
  <c r="B141" i="3"/>
  <c r="BO84" i="3" s="1"/>
  <c r="B142" i="3"/>
  <c r="BO85" i="3" s="1"/>
  <c r="B143" i="3"/>
  <c r="BO86" i="3" s="1"/>
  <c r="B144" i="3"/>
  <c r="BO87" i="3" s="1"/>
  <c r="B145" i="3"/>
  <c r="BO88" i="3" s="1"/>
  <c r="B146" i="3"/>
  <c r="BO89" i="3" s="1"/>
  <c r="B147" i="3"/>
  <c r="BO90" i="3" s="1"/>
  <c r="B148" i="3"/>
  <c r="BO91" i="3" s="1"/>
  <c r="B149" i="3"/>
  <c r="BO92" i="3" s="1"/>
  <c r="B150" i="3"/>
  <c r="BO93" i="3" s="1"/>
  <c r="B151" i="3"/>
  <c r="BO94" i="3" s="1"/>
  <c r="B152" i="3"/>
  <c r="BO95" i="3" s="1"/>
  <c r="B153" i="3"/>
  <c r="BO96" i="3" s="1"/>
  <c r="B154" i="3"/>
  <c r="BO97" i="3" s="1"/>
  <c r="B155" i="3"/>
  <c r="BO98" i="3" s="1"/>
  <c r="B156" i="3"/>
  <c r="BO99" i="3" s="1"/>
  <c r="B157" i="3"/>
  <c r="BO100" i="3" s="1"/>
  <c r="B158" i="3"/>
  <c r="BO101" i="3" s="1"/>
  <c r="B159" i="3"/>
  <c r="BO102" i="3" s="1"/>
  <c r="B160" i="3"/>
  <c r="BO103" i="3" s="1"/>
  <c r="B161" i="3"/>
  <c r="BO104" i="3" s="1"/>
  <c r="B162" i="3"/>
  <c r="BO105" i="3" s="1"/>
  <c r="B163" i="3"/>
  <c r="BO106" i="3" s="1"/>
  <c r="B164" i="3"/>
  <c r="BO107" i="3" s="1"/>
  <c r="B165" i="3"/>
  <c r="BO108" i="3" s="1"/>
  <c r="B166" i="3"/>
  <c r="BO109" i="3" s="1"/>
  <c r="B167" i="3"/>
  <c r="BO110" i="3" s="1"/>
  <c r="B168" i="3"/>
  <c r="BO111" i="3" s="1"/>
  <c r="B169" i="3"/>
  <c r="BO112" i="3" s="1"/>
  <c r="B170" i="3"/>
  <c r="BO113" i="3" s="1"/>
  <c r="B171" i="3"/>
  <c r="BO114" i="3" s="1"/>
  <c r="B172" i="3"/>
  <c r="BO115" i="3" s="1"/>
  <c r="B173" i="3"/>
  <c r="BO116" i="3" s="1"/>
  <c r="B174" i="3"/>
  <c r="BO117" i="3" s="1"/>
  <c r="B175" i="3"/>
  <c r="BO118" i="3" s="1"/>
  <c r="B176" i="3"/>
  <c r="BO119" i="3" s="1"/>
  <c r="B177" i="3"/>
  <c r="BO120" i="3" s="1"/>
  <c r="B178" i="3"/>
  <c r="BO121" i="3" s="1"/>
  <c r="B179" i="3"/>
  <c r="BO122" i="3" s="1"/>
  <c r="B180" i="3"/>
  <c r="BO123" i="3" s="1"/>
  <c r="B181" i="3"/>
  <c r="BO124" i="3" s="1"/>
  <c r="B182" i="3"/>
  <c r="BO125" i="3" s="1"/>
  <c r="B183" i="3"/>
  <c r="BO126" i="3" s="1"/>
  <c r="B184" i="3"/>
  <c r="BO127" i="3" s="1"/>
  <c r="B185" i="3"/>
  <c r="BO128" i="3" s="1"/>
  <c r="B186" i="3"/>
  <c r="BO129" i="3" s="1"/>
  <c r="B187" i="3"/>
  <c r="BO130" i="3" s="1"/>
  <c r="B188" i="3"/>
  <c r="BO131" i="3" s="1"/>
  <c r="B189" i="3"/>
  <c r="BO132" i="3" s="1"/>
  <c r="B190" i="3"/>
  <c r="BO133" i="3" s="1"/>
  <c r="B191" i="3"/>
  <c r="BO134" i="3" s="1"/>
  <c r="B192" i="3"/>
  <c r="BO135" i="3" s="1"/>
  <c r="B193" i="3"/>
  <c r="BO136" i="3" s="1"/>
  <c r="B194" i="3"/>
  <c r="BO137" i="3" s="1"/>
  <c r="B195" i="3"/>
  <c r="BO138" i="3" s="1"/>
  <c r="B196" i="3"/>
  <c r="BO139" i="3" s="1"/>
  <c r="B197" i="3"/>
  <c r="BO140" i="3" s="1"/>
  <c r="B198" i="3"/>
  <c r="BO141" i="3" s="1"/>
  <c r="B199" i="3"/>
  <c r="BO142" i="3" s="1"/>
  <c r="BQ142" i="3" s="1"/>
  <c r="BT142" i="3" s="1"/>
  <c r="B200" i="3"/>
  <c r="BO143" i="3" s="1"/>
  <c r="B201" i="3"/>
  <c r="BO144" i="3" s="1"/>
  <c r="BQ144" i="3" s="1"/>
  <c r="BT144" i="3" s="1"/>
  <c r="B202" i="3"/>
  <c r="BO145" i="3" s="1"/>
  <c r="B203" i="3"/>
  <c r="BO146" i="3" s="1"/>
  <c r="B204" i="3"/>
  <c r="BO147" i="3" s="1"/>
  <c r="B205" i="3"/>
  <c r="BO148" i="3" s="1"/>
  <c r="B206" i="3"/>
  <c r="BO149" i="3" s="1"/>
  <c r="B207" i="3"/>
  <c r="BO150" i="3" s="1"/>
  <c r="B208" i="3"/>
  <c r="BO151" i="3" s="1"/>
  <c r="B209" i="3"/>
  <c r="BO152" i="3" s="1"/>
  <c r="B210" i="3"/>
  <c r="BO153" i="3" s="1"/>
  <c r="B211" i="3"/>
  <c r="BO154" i="3" s="1"/>
  <c r="B212" i="3"/>
  <c r="BO155" i="3" s="1"/>
  <c r="B213" i="3"/>
  <c r="BO156" i="3" s="1"/>
  <c r="B214" i="3"/>
  <c r="BO157" i="3" s="1"/>
  <c r="B215" i="3"/>
  <c r="BO158" i="3" s="1"/>
  <c r="B216" i="3"/>
  <c r="BO159" i="3" s="1"/>
  <c r="B217" i="3"/>
  <c r="BO160" i="3" s="1"/>
  <c r="B218" i="3"/>
  <c r="BO161" i="3" s="1"/>
  <c r="B219" i="3"/>
  <c r="BO162" i="3" s="1"/>
  <c r="B220" i="3"/>
  <c r="BO163" i="3" s="1"/>
  <c r="B221" i="3"/>
  <c r="BO164" i="3" s="1"/>
  <c r="B222" i="3"/>
  <c r="BO165" i="3" s="1"/>
  <c r="BQ165" i="3" s="1"/>
  <c r="BT165" i="3" s="1"/>
  <c r="B223" i="3"/>
  <c r="BO166" i="3" s="1"/>
  <c r="BQ166" i="3" s="1"/>
  <c r="BT166" i="3" s="1"/>
  <c r="B224" i="3"/>
  <c r="BO167" i="3" s="1"/>
  <c r="B225" i="3"/>
  <c r="BO168" i="3" s="1"/>
  <c r="B226" i="3"/>
  <c r="BO169" i="3" s="1"/>
  <c r="B227" i="3"/>
  <c r="BO170" i="3" s="1"/>
  <c r="B228" i="3"/>
  <c r="BO171" i="3" s="1"/>
  <c r="B229" i="3"/>
  <c r="BO172" i="3" s="1"/>
  <c r="B230" i="3"/>
  <c r="BO173" i="3" s="1"/>
  <c r="B231" i="3"/>
  <c r="BO174" i="3" s="1"/>
  <c r="B232" i="3"/>
  <c r="BO175" i="3" s="1"/>
  <c r="B233" i="3"/>
  <c r="BO176" i="3" s="1"/>
  <c r="B234" i="3"/>
  <c r="BO177" i="3" s="1"/>
  <c r="B235" i="3"/>
  <c r="BO178" i="3" s="1"/>
  <c r="B236" i="3"/>
  <c r="BO179" i="3" s="1"/>
  <c r="B237" i="3"/>
  <c r="BO180" i="3" s="1"/>
  <c r="B238" i="3"/>
  <c r="BO181" i="3" s="1"/>
  <c r="B239" i="3"/>
  <c r="BO182" i="3" s="1"/>
  <c r="B240" i="3"/>
  <c r="BO183" i="3" s="1"/>
  <c r="B241" i="3"/>
  <c r="BO184" i="3" s="1"/>
  <c r="B242" i="3"/>
  <c r="BO185" i="3" s="1"/>
  <c r="B243" i="3"/>
  <c r="BO186" i="3" s="1"/>
  <c r="B244" i="3"/>
  <c r="BO187" i="3" s="1"/>
  <c r="B245" i="3"/>
  <c r="BO188" i="3" s="1"/>
  <c r="B246" i="3"/>
  <c r="BO189" i="3" s="1"/>
  <c r="B247" i="3"/>
  <c r="BO190" i="3" s="1"/>
  <c r="BQ190" i="3" s="1"/>
  <c r="BT190" i="3" s="1"/>
  <c r="B248" i="3"/>
  <c r="BO191" i="3" s="1"/>
  <c r="B249" i="3"/>
  <c r="BO192" i="3" s="1"/>
  <c r="B250" i="3"/>
  <c r="BO193" i="3" s="1"/>
  <c r="B251" i="3"/>
  <c r="BO194" i="3" s="1"/>
  <c r="B252" i="3"/>
  <c r="BO195" i="3" s="1"/>
  <c r="B253" i="3"/>
  <c r="BO196" i="3" s="1"/>
  <c r="B254" i="3"/>
  <c r="BO197" i="3" s="1"/>
  <c r="B255" i="3"/>
  <c r="BO198" i="3" s="1"/>
  <c r="B256" i="3"/>
  <c r="BO199" i="3" s="1"/>
  <c r="B257" i="3"/>
  <c r="BO200" i="3" s="1"/>
  <c r="B258" i="3"/>
  <c r="BO201" i="3" s="1"/>
  <c r="B259" i="3"/>
  <c r="BO202" i="3" s="1"/>
  <c r="B260" i="3"/>
  <c r="BO203" i="3" s="1"/>
  <c r="B261" i="3"/>
  <c r="BO204" i="3"/>
  <c r="B262" i="3"/>
  <c r="BO205" i="3" s="1"/>
  <c r="B263" i="3"/>
  <c r="BO206" i="3" s="1"/>
  <c r="B64" i="3"/>
  <c r="BO7" i="3" s="1"/>
  <c r="C65" i="3"/>
  <c r="BP8" i="3" s="1"/>
  <c r="C66" i="3"/>
  <c r="BP9" i="3" s="1"/>
  <c r="C67" i="3"/>
  <c r="BP10" i="3" s="1"/>
  <c r="C68" i="3"/>
  <c r="BP11" i="3" s="1"/>
  <c r="C69" i="3"/>
  <c r="BP12" i="3" s="1"/>
  <c r="C70" i="3"/>
  <c r="BP13" i="3" s="1"/>
  <c r="C71" i="3"/>
  <c r="BP14" i="3" s="1"/>
  <c r="C72" i="3"/>
  <c r="BP15" i="3" s="1"/>
  <c r="C73" i="3"/>
  <c r="BP16" i="3" s="1"/>
  <c r="C74" i="3"/>
  <c r="BP17" i="3" s="1"/>
  <c r="C75" i="3"/>
  <c r="BP18" i="3" s="1"/>
  <c r="C76" i="3"/>
  <c r="BP19" i="3" s="1"/>
  <c r="C77" i="3"/>
  <c r="BP20" i="3" s="1"/>
  <c r="C78" i="3"/>
  <c r="BP21" i="3" s="1"/>
  <c r="C79" i="3"/>
  <c r="BP22" i="3" s="1"/>
  <c r="C80" i="3"/>
  <c r="BP23" i="3" s="1"/>
  <c r="C81" i="3"/>
  <c r="BP24" i="3" s="1"/>
  <c r="C82" i="3"/>
  <c r="BP25" i="3" s="1"/>
  <c r="C83" i="3"/>
  <c r="BP26" i="3" s="1"/>
  <c r="C84" i="3"/>
  <c r="BP27" i="3" s="1"/>
  <c r="C85" i="3"/>
  <c r="BP28" i="3" s="1"/>
  <c r="C86" i="3"/>
  <c r="BP29" i="3" s="1"/>
  <c r="C87" i="3"/>
  <c r="BP30" i="3" s="1"/>
  <c r="C88" i="3"/>
  <c r="BP31" i="3" s="1"/>
  <c r="C89" i="3"/>
  <c r="BP32" i="3" s="1"/>
  <c r="C90" i="3"/>
  <c r="BP33" i="3" s="1"/>
  <c r="C91" i="3"/>
  <c r="BP34" i="3" s="1"/>
  <c r="C92" i="3"/>
  <c r="BP35" i="3" s="1"/>
  <c r="C93" i="3"/>
  <c r="BP36" i="3" s="1"/>
  <c r="C94" i="3"/>
  <c r="BP37" i="3" s="1"/>
  <c r="C95" i="3"/>
  <c r="BP38" i="3" s="1"/>
  <c r="C96" i="3"/>
  <c r="BP39" i="3" s="1"/>
  <c r="C97" i="3"/>
  <c r="BP40" i="3" s="1"/>
  <c r="C98" i="3"/>
  <c r="BP41" i="3" s="1"/>
  <c r="C99" i="3"/>
  <c r="BP42" i="3" s="1"/>
  <c r="C100" i="3"/>
  <c r="BP43" i="3" s="1"/>
  <c r="C101" i="3"/>
  <c r="BP44" i="3" s="1"/>
  <c r="C102" i="3"/>
  <c r="BP45" i="3" s="1"/>
  <c r="C103" i="3"/>
  <c r="BP46" i="3" s="1"/>
  <c r="C104" i="3"/>
  <c r="BP47" i="3" s="1"/>
  <c r="C105" i="3"/>
  <c r="BP48" i="3" s="1"/>
  <c r="C106" i="3"/>
  <c r="BP49" i="3" s="1"/>
  <c r="C107" i="3"/>
  <c r="BP50" i="3" s="1"/>
  <c r="C108" i="3"/>
  <c r="BP51" i="3" s="1"/>
  <c r="C109" i="3"/>
  <c r="BP52" i="3" s="1"/>
  <c r="C110" i="3"/>
  <c r="BP53" i="3" s="1"/>
  <c r="C111" i="3"/>
  <c r="BP54" i="3" s="1"/>
  <c r="C112" i="3"/>
  <c r="BP55" i="3" s="1"/>
  <c r="C113" i="3"/>
  <c r="BP56" i="3" s="1"/>
  <c r="C114" i="3"/>
  <c r="BP57" i="3" s="1"/>
  <c r="C115" i="3"/>
  <c r="BP58" i="3" s="1"/>
  <c r="C116" i="3"/>
  <c r="BP59" i="3" s="1"/>
  <c r="C117" i="3"/>
  <c r="BP60" i="3" s="1"/>
  <c r="C118" i="3"/>
  <c r="BP61" i="3" s="1"/>
  <c r="C119" i="3"/>
  <c r="BP62" i="3" s="1"/>
  <c r="C120" i="3"/>
  <c r="BP63" i="3" s="1"/>
  <c r="C121" i="3"/>
  <c r="BP64" i="3" s="1"/>
  <c r="C122" i="3"/>
  <c r="BP65" i="3" s="1"/>
  <c r="C123" i="3"/>
  <c r="BP66" i="3" s="1"/>
  <c r="C124" i="3"/>
  <c r="BP67" i="3" s="1"/>
  <c r="C125" i="3"/>
  <c r="BP68" i="3" s="1"/>
  <c r="C126" i="3"/>
  <c r="BP69" i="3" s="1"/>
  <c r="C127" i="3"/>
  <c r="BP70" i="3" s="1"/>
  <c r="C128" i="3"/>
  <c r="BP71" i="3" s="1"/>
  <c r="C129" i="3"/>
  <c r="BP72" i="3" s="1"/>
  <c r="C130" i="3"/>
  <c r="BP73" i="3" s="1"/>
  <c r="C131" i="3"/>
  <c r="BP74" i="3" s="1"/>
  <c r="C132" i="3"/>
  <c r="BP75" i="3" s="1"/>
  <c r="C133" i="3"/>
  <c r="BP76" i="3" s="1"/>
  <c r="C134" i="3"/>
  <c r="BP77" i="3" s="1"/>
  <c r="C135" i="3"/>
  <c r="BP78" i="3" s="1"/>
  <c r="C136" i="3"/>
  <c r="BP79" i="3" s="1"/>
  <c r="C137" i="3"/>
  <c r="BP80" i="3" s="1"/>
  <c r="C138" i="3"/>
  <c r="BP81" i="3" s="1"/>
  <c r="C139" i="3"/>
  <c r="BP82" i="3" s="1"/>
  <c r="C140" i="3"/>
  <c r="BP83" i="3" s="1"/>
  <c r="C141" i="3"/>
  <c r="BP84" i="3" s="1"/>
  <c r="C142" i="3"/>
  <c r="BP85" i="3" s="1"/>
  <c r="C143" i="3"/>
  <c r="BP86" i="3" s="1"/>
  <c r="C144" i="3"/>
  <c r="BP87" i="3" s="1"/>
  <c r="C145" i="3"/>
  <c r="BP88" i="3" s="1"/>
  <c r="C146" i="3"/>
  <c r="BP89" i="3" s="1"/>
  <c r="C147" i="3"/>
  <c r="BP90" i="3" s="1"/>
  <c r="C148" i="3"/>
  <c r="BP91" i="3" s="1"/>
  <c r="C149" i="3"/>
  <c r="BP92" i="3" s="1"/>
  <c r="C150" i="3"/>
  <c r="BP93" i="3" s="1"/>
  <c r="C151" i="3"/>
  <c r="BP94" i="3" s="1"/>
  <c r="C152" i="3"/>
  <c r="BP95" i="3" s="1"/>
  <c r="C153" i="3"/>
  <c r="BP96" i="3" s="1"/>
  <c r="C154" i="3"/>
  <c r="BP97" i="3" s="1"/>
  <c r="C155" i="3"/>
  <c r="BP98" i="3" s="1"/>
  <c r="C156" i="3"/>
  <c r="BP99" i="3" s="1"/>
  <c r="C157" i="3"/>
  <c r="BP100" i="3" s="1"/>
  <c r="C158" i="3"/>
  <c r="BP101" i="3" s="1"/>
  <c r="C159" i="3"/>
  <c r="BP102" i="3" s="1"/>
  <c r="C160" i="3"/>
  <c r="BP103" i="3" s="1"/>
  <c r="C161" i="3"/>
  <c r="BP104" i="3" s="1"/>
  <c r="C162" i="3"/>
  <c r="BP105" i="3" s="1"/>
  <c r="C163" i="3"/>
  <c r="BP106" i="3" s="1"/>
  <c r="C164" i="3"/>
  <c r="BP107" i="3" s="1"/>
  <c r="C165" i="3"/>
  <c r="BP108" i="3" s="1"/>
  <c r="C166" i="3"/>
  <c r="BP109" i="3" s="1"/>
  <c r="C167" i="3"/>
  <c r="BP110" i="3" s="1"/>
  <c r="C168" i="3"/>
  <c r="BP111" i="3" s="1"/>
  <c r="C169" i="3"/>
  <c r="BP112" i="3" s="1"/>
  <c r="C170" i="3"/>
  <c r="BP113" i="3" s="1"/>
  <c r="C171" i="3"/>
  <c r="BP114" i="3" s="1"/>
  <c r="C172" i="3"/>
  <c r="BP115" i="3" s="1"/>
  <c r="C173" i="3"/>
  <c r="BP116" i="3" s="1"/>
  <c r="C174" i="3"/>
  <c r="BP117" i="3" s="1"/>
  <c r="C175" i="3"/>
  <c r="BP118" i="3" s="1"/>
  <c r="C176" i="3"/>
  <c r="BP119" i="3" s="1"/>
  <c r="C177" i="3"/>
  <c r="BP120" i="3" s="1"/>
  <c r="C178" i="3"/>
  <c r="BP121" i="3" s="1"/>
  <c r="C179" i="3"/>
  <c r="BP122" i="3" s="1"/>
  <c r="C180" i="3"/>
  <c r="BP123" i="3" s="1"/>
  <c r="C181" i="3"/>
  <c r="BP124" i="3" s="1"/>
  <c r="C182" i="3"/>
  <c r="BP125" i="3" s="1"/>
  <c r="C183" i="3"/>
  <c r="BP126" i="3" s="1"/>
  <c r="C184" i="3"/>
  <c r="BP127" i="3" s="1"/>
  <c r="C185" i="3"/>
  <c r="BP128" i="3" s="1"/>
  <c r="C186" i="3"/>
  <c r="BP129" i="3" s="1"/>
  <c r="C187" i="3"/>
  <c r="BP130" i="3" s="1"/>
  <c r="C188" i="3"/>
  <c r="BP131" i="3" s="1"/>
  <c r="C189" i="3"/>
  <c r="BP132" i="3" s="1"/>
  <c r="C190" i="3"/>
  <c r="BP133" i="3" s="1"/>
  <c r="C191" i="3"/>
  <c r="BP134" i="3" s="1"/>
  <c r="C192" i="3"/>
  <c r="BP135" i="3" s="1"/>
  <c r="C193" i="3"/>
  <c r="BP136" i="3" s="1"/>
  <c r="C194" i="3"/>
  <c r="BP137" i="3" s="1"/>
  <c r="C195" i="3"/>
  <c r="BP138" i="3" s="1"/>
  <c r="C196" i="3"/>
  <c r="BP139" i="3" s="1"/>
  <c r="C197" i="3"/>
  <c r="BP140" i="3" s="1"/>
  <c r="C198" i="3"/>
  <c r="BP141" i="3" s="1"/>
  <c r="C199" i="3"/>
  <c r="BP142" i="3" s="1"/>
  <c r="C200" i="3"/>
  <c r="BP143" i="3" s="1"/>
  <c r="C201" i="3"/>
  <c r="BP144" i="3" s="1"/>
  <c r="C202" i="3"/>
  <c r="BP145" i="3" s="1"/>
  <c r="C203" i="3"/>
  <c r="BP146" i="3" s="1"/>
  <c r="C204" i="3"/>
  <c r="BP147" i="3" s="1"/>
  <c r="C205" i="3"/>
  <c r="BP148" i="3" s="1"/>
  <c r="C206" i="3"/>
  <c r="BP149" i="3" s="1"/>
  <c r="C207" i="3"/>
  <c r="BP150" i="3" s="1"/>
  <c r="C208" i="3"/>
  <c r="BP151" i="3" s="1"/>
  <c r="C209" i="3"/>
  <c r="BP152" i="3" s="1"/>
  <c r="C210" i="3"/>
  <c r="BP153" i="3" s="1"/>
  <c r="C211" i="3"/>
  <c r="BP154" i="3" s="1"/>
  <c r="C212" i="3"/>
  <c r="BP155" i="3" s="1"/>
  <c r="C213" i="3"/>
  <c r="BP156" i="3" s="1"/>
  <c r="C214" i="3"/>
  <c r="BP157" i="3" s="1"/>
  <c r="C215" i="3"/>
  <c r="BP158" i="3" s="1"/>
  <c r="C216" i="3"/>
  <c r="BP159" i="3" s="1"/>
  <c r="C217" i="3"/>
  <c r="BP160" i="3" s="1"/>
  <c r="C218" i="3"/>
  <c r="BP161" i="3" s="1"/>
  <c r="C219" i="3"/>
  <c r="BP162" i="3" s="1"/>
  <c r="C220" i="3"/>
  <c r="BP163" i="3" s="1"/>
  <c r="C221" i="3"/>
  <c r="BP164" i="3" s="1"/>
  <c r="C222" i="3"/>
  <c r="BP165" i="3" s="1"/>
  <c r="C223" i="3"/>
  <c r="BP166" i="3" s="1"/>
  <c r="C224" i="3"/>
  <c r="BP167" i="3" s="1"/>
  <c r="C225" i="3"/>
  <c r="BP168" i="3" s="1"/>
  <c r="C226" i="3"/>
  <c r="BP169" i="3" s="1"/>
  <c r="C227" i="3"/>
  <c r="BP170" i="3" s="1"/>
  <c r="C228" i="3"/>
  <c r="BP171" i="3" s="1"/>
  <c r="C229" i="3"/>
  <c r="BP172" i="3" s="1"/>
  <c r="C230" i="3"/>
  <c r="BP173" i="3" s="1"/>
  <c r="C231" i="3"/>
  <c r="BP174" i="3" s="1"/>
  <c r="C232" i="3"/>
  <c r="BP175" i="3" s="1"/>
  <c r="C233" i="3"/>
  <c r="BP176" i="3" s="1"/>
  <c r="C234" i="3"/>
  <c r="BP177" i="3" s="1"/>
  <c r="C235" i="3"/>
  <c r="BP178" i="3" s="1"/>
  <c r="C236" i="3"/>
  <c r="BP179" i="3" s="1"/>
  <c r="C237" i="3"/>
  <c r="BP180" i="3" s="1"/>
  <c r="C238" i="3"/>
  <c r="BP181" i="3" s="1"/>
  <c r="C239" i="3"/>
  <c r="BP182" i="3" s="1"/>
  <c r="C240" i="3"/>
  <c r="BP183" i="3" s="1"/>
  <c r="C241" i="3"/>
  <c r="BP184" i="3" s="1"/>
  <c r="C242" i="3"/>
  <c r="BP185" i="3" s="1"/>
  <c r="C243" i="3"/>
  <c r="BP186" i="3" s="1"/>
  <c r="C244" i="3"/>
  <c r="BP187" i="3" s="1"/>
  <c r="C245" i="3"/>
  <c r="BP188" i="3" s="1"/>
  <c r="C246" i="3"/>
  <c r="BP189" i="3" s="1"/>
  <c r="C247" i="3"/>
  <c r="BP190" i="3" s="1"/>
  <c r="C248" i="3"/>
  <c r="BP191" i="3" s="1"/>
  <c r="C249" i="3"/>
  <c r="BP192" i="3" s="1"/>
  <c r="C250" i="3"/>
  <c r="BP193" i="3" s="1"/>
  <c r="C251" i="3"/>
  <c r="BP194" i="3" s="1"/>
  <c r="C252" i="3"/>
  <c r="BP195" i="3" s="1"/>
  <c r="C253" i="3"/>
  <c r="BP196" i="3" s="1"/>
  <c r="C254" i="3"/>
  <c r="BP197" i="3" s="1"/>
  <c r="C255" i="3"/>
  <c r="BP198" i="3" s="1"/>
  <c r="C256" i="3"/>
  <c r="BP199" i="3" s="1"/>
  <c r="C257" i="3"/>
  <c r="BP200" i="3" s="1"/>
  <c r="C258" i="3"/>
  <c r="BP201" i="3" s="1"/>
  <c r="C259" i="3"/>
  <c r="BP202" i="3" s="1"/>
  <c r="C260" i="3"/>
  <c r="BP203" i="3" s="1"/>
  <c r="C261" i="3"/>
  <c r="BP204" i="3" s="1"/>
  <c r="C262" i="3"/>
  <c r="BP205" i="3" s="1"/>
  <c r="C263" i="3"/>
  <c r="BP206" i="3" s="1"/>
  <c r="C64" i="3"/>
  <c r="BP7" i="3" s="1"/>
  <c r="K13" i="3"/>
  <c r="E9" i="3"/>
  <c r="E10" i="3"/>
  <c r="E11" i="3"/>
  <c r="E12" i="3"/>
  <c r="E13" i="3"/>
  <c r="E14" i="3"/>
  <c r="AU18" i="3"/>
  <c r="AU12" i="3"/>
  <c r="AU20" i="3"/>
  <c r="AU16" i="3"/>
  <c r="AU9" i="3"/>
  <c r="BE115" i="3"/>
  <c r="BQ148" i="3"/>
  <c r="BQ140" i="3"/>
  <c r="BT140" i="3" s="1"/>
  <c r="BQ167" i="3"/>
  <c r="BT167" i="3"/>
  <c r="BQ169" i="3"/>
  <c r="BT169" i="3" s="1"/>
  <c r="BQ171" i="3"/>
  <c r="BQ173" i="3"/>
  <c r="BQ175" i="3"/>
  <c r="BT175" i="3" s="1"/>
  <c r="BQ177" i="3"/>
  <c r="BQ199" i="3"/>
  <c r="BT199" i="3"/>
  <c r="BQ203" i="3"/>
  <c r="BT203" i="3" s="1"/>
  <c r="BJ132" i="3"/>
  <c r="AU14" i="3"/>
  <c r="AU11" i="3"/>
  <c r="AU8" i="3"/>
  <c r="AY9" i="3"/>
  <c r="AY7" i="3"/>
  <c r="AY17" i="3"/>
  <c r="AY13" i="3"/>
  <c r="BJ60" i="3"/>
  <c r="BJ81" i="3"/>
  <c r="BJ57" i="3"/>
  <c r="BJ109" i="3"/>
  <c r="BF117" i="3"/>
  <c r="K10" i="5"/>
  <c r="K11" i="5"/>
  <c r="K9" i="5"/>
  <c r="K5" i="5"/>
  <c r="AD8" i="3"/>
  <c r="AV10" i="3"/>
  <c r="AB10" i="3"/>
  <c r="Z10" i="3"/>
  <c r="BQ10" i="3"/>
  <c r="BT10" i="3"/>
  <c r="G9" i="5"/>
  <c r="AC9" i="3"/>
  <c r="AJ9" i="3" s="1"/>
  <c r="BQ26" i="3"/>
  <c r="BQ27" i="3"/>
  <c r="BT27" i="3"/>
  <c r="BQ68" i="3"/>
  <c r="BT68" i="3"/>
  <c r="BQ69" i="3"/>
  <c r="BT69" i="3" s="1"/>
  <c r="BQ70" i="3"/>
  <c r="BT70" i="3"/>
  <c r="BQ11" i="3"/>
  <c r="BT11" i="3"/>
  <c r="BQ13" i="3"/>
  <c r="BT13" i="3" s="1"/>
  <c r="BT173" i="3"/>
  <c r="L7" i="5"/>
  <c r="S7" i="5" s="1"/>
  <c r="Z15" i="3"/>
  <c r="K4" i="5"/>
  <c r="AV13" i="3"/>
  <c r="AV9" i="3"/>
  <c r="BJ34" i="3"/>
  <c r="AW16" i="3"/>
  <c r="AD7" i="3"/>
  <c r="AD20" i="3"/>
  <c r="AD19" i="3"/>
  <c r="AD18" i="3"/>
  <c r="AD17" i="3"/>
  <c r="AD16" i="3"/>
  <c r="AD15" i="3"/>
  <c r="AD14" i="3"/>
  <c r="AD13" i="3"/>
  <c r="AD12" i="3"/>
  <c r="AD11" i="3"/>
  <c r="AD10" i="3"/>
  <c r="AD9" i="3"/>
  <c r="AS7" i="3"/>
  <c r="BF139" i="3" l="1"/>
  <c r="BI77" i="3"/>
  <c r="BM77" i="3" s="1"/>
  <c r="BE109" i="3"/>
  <c r="BI109" i="3" s="1"/>
  <c r="BM109" i="3" s="1"/>
  <c r="M6" i="5"/>
  <c r="M5" i="5"/>
  <c r="BE101" i="3"/>
  <c r="BI101" i="3" s="1"/>
  <c r="BM101" i="3" s="1"/>
  <c r="H5" i="5"/>
  <c r="O5" i="5" s="1"/>
  <c r="P5" i="5" s="1"/>
  <c r="BQ67" i="3"/>
  <c r="BT67" i="3" s="1"/>
  <c r="BF51" i="3"/>
  <c r="BQ133" i="3"/>
  <c r="BT133" i="3" s="1"/>
  <c r="BE92" i="3"/>
  <c r="BI92" i="3" s="1"/>
  <c r="BM92" i="3" s="1"/>
  <c r="BT56" i="3"/>
  <c r="AF17" i="3"/>
  <c r="AY11" i="3"/>
  <c r="BQ121" i="3"/>
  <c r="BT121" i="3" s="1"/>
  <c r="AH14" i="3"/>
  <c r="AI14" i="3" s="1"/>
  <c r="BQ56" i="3"/>
  <c r="AF13" i="3"/>
  <c r="BF55" i="3"/>
  <c r="BQ105" i="3"/>
  <c r="BT105" i="3" s="1"/>
  <c r="BQ72" i="3"/>
  <c r="BT72" i="3" s="1"/>
  <c r="BQ186" i="3"/>
  <c r="BT186" i="3" s="1"/>
  <c r="BQ162" i="3"/>
  <c r="BT162" i="3" s="1"/>
  <c r="BQ138" i="3"/>
  <c r="BT138" i="3" s="1"/>
  <c r="BQ44" i="3"/>
  <c r="AY18" i="3"/>
  <c r="BQ103" i="3"/>
  <c r="BT103" i="3" s="1"/>
  <c r="BQ104" i="3"/>
  <c r="BT104" i="3" s="1"/>
  <c r="BQ89" i="3"/>
  <c r="BT89" i="3" s="1"/>
  <c r="BQ101" i="3"/>
  <c r="BT101" i="3" s="1"/>
  <c r="BQ136" i="3"/>
  <c r="BQ184" i="3"/>
  <c r="BT184" i="3" s="1"/>
  <c r="BQ43" i="3"/>
  <c r="BT43" i="3" s="1"/>
  <c r="K8" i="5"/>
  <c r="BQ99" i="3"/>
  <c r="BT99" i="3" s="1"/>
  <c r="AY16" i="3"/>
  <c r="BF97" i="3"/>
  <c r="BE128" i="3"/>
  <c r="BI128" i="3" s="1"/>
  <c r="BM128" i="3" s="1"/>
  <c r="BE124" i="3"/>
  <c r="BI124" i="3" s="1"/>
  <c r="BM124" i="3" s="1"/>
  <c r="BE98" i="3"/>
  <c r="BI98" i="3" s="1"/>
  <c r="BM98" i="3" s="1"/>
  <c r="BQ97" i="3"/>
  <c r="BT97" i="3" s="1"/>
  <c r="BQ80" i="3"/>
  <c r="BQ95" i="3"/>
  <c r="BT95" i="3" s="1"/>
  <c r="BQ40" i="3"/>
  <c r="BT40" i="3" s="1"/>
  <c r="BQ93" i="3"/>
  <c r="BT39" i="3"/>
  <c r="AC14" i="3"/>
  <c r="AJ14" i="3" s="1"/>
  <c r="AK14" i="3" s="1"/>
  <c r="BQ91" i="3"/>
  <c r="M11" i="5"/>
  <c r="BQ29" i="3"/>
  <c r="AT17" i="3"/>
  <c r="BE7" i="3"/>
  <c r="BI7" i="3" s="1"/>
  <c r="BM7" i="3" s="1"/>
  <c r="BQ188" i="3"/>
  <c r="AS20" i="3"/>
  <c r="BI115" i="3"/>
  <c r="BM115" i="3" s="1"/>
  <c r="M9" i="5"/>
  <c r="BE105" i="3"/>
  <c r="BI105" i="3" s="1"/>
  <c r="BM105" i="3" s="1"/>
  <c r="BE130" i="3"/>
  <c r="BI130" i="3" s="1"/>
  <c r="BM130" i="3" s="1"/>
  <c r="M4" i="5"/>
  <c r="BQ42" i="3"/>
  <c r="BT42" i="3" s="1"/>
  <c r="BQ41" i="3"/>
  <c r="BT41" i="3" s="1"/>
  <c r="BF114" i="3"/>
  <c r="BQ112" i="3"/>
  <c r="AY10" i="3"/>
  <c r="BQ39" i="3"/>
  <c r="BQ87" i="3"/>
  <c r="BT87" i="3" s="1"/>
  <c r="BQ35" i="3"/>
  <c r="AT7" i="3"/>
  <c r="BT188" i="3"/>
  <c r="AS12" i="3"/>
  <c r="BQ28" i="3"/>
  <c r="BT28" i="3" s="1"/>
  <c r="BQ205" i="3"/>
  <c r="BT205" i="3" s="1"/>
  <c r="BF195" i="3"/>
  <c r="Q10" i="5"/>
  <c r="BE55" i="3"/>
  <c r="BI55" i="3" s="1"/>
  <c r="BM55" i="3" s="1"/>
  <c r="BE189" i="3"/>
  <c r="BI189" i="3" s="1"/>
  <c r="BM189" i="3" s="1"/>
  <c r="BE121" i="3"/>
  <c r="BI121" i="3" s="1"/>
  <c r="BM121" i="3" s="1"/>
  <c r="BE83" i="3"/>
  <c r="BI83" i="3" s="1"/>
  <c r="BM83" i="3" s="1"/>
  <c r="BB44" i="3"/>
  <c r="BC44" i="3" s="1"/>
  <c r="BB27" i="3"/>
  <c r="BD27" i="3" s="1"/>
  <c r="BE99" i="3"/>
  <c r="BI99" i="3" s="1"/>
  <c r="BM99" i="3" s="1"/>
  <c r="BE176" i="3"/>
  <c r="BI176" i="3" s="1"/>
  <c r="BM176" i="3" s="1"/>
  <c r="G5" i="5"/>
  <c r="AC10" i="3"/>
  <c r="AJ10" i="3" s="1"/>
  <c r="AC11" i="3"/>
  <c r="AC12" i="3"/>
  <c r="AJ12" i="3" s="1"/>
  <c r="AC18" i="3"/>
  <c r="AJ18" i="3" s="1"/>
  <c r="AK18" i="3" s="1"/>
  <c r="AC19" i="3"/>
  <c r="AJ19" i="3" s="1"/>
  <c r="AC7" i="3"/>
  <c r="I11" i="5"/>
  <c r="N11" i="5" s="1"/>
  <c r="V11" i="5" s="1"/>
  <c r="BE63" i="3"/>
  <c r="BI63" i="3" s="1"/>
  <c r="BM63" i="3" s="1"/>
  <c r="BE117" i="3"/>
  <c r="BI117" i="3" s="1"/>
  <c r="BM117" i="3" s="1"/>
  <c r="BE47" i="3"/>
  <c r="BI47" i="3" s="1"/>
  <c r="BM47" i="3" s="1"/>
  <c r="BE133" i="3"/>
  <c r="BI133" i="3" s="1"/>
  <c r="BM133" i="3" s="1"/>
  <c r="BE195" i="3"/>
  <c r="BI195" i="3" s="1"/>
  <c r="BM195" i="3" s="1"/>
  <c r="BE203" i="3"/>
  <c r="BI203" i="3" s="1"/>
  <c r="BM203" i="3" s="1"/>
  <c r="BE186" i="3"/>
  <c r="BI186" i="3" s="1"/>
  <c r="BM186" i="3" s="1"/>
  <c r="BE14" i="3"/>
  <c r="BI14" i="3" s="1"/>
  <c r="BM14" i="3" s="1"/>
  <c r="BE36" i="3"/>
  <c r="BI36" i="3" s="1"/>
  <c r="BM36" i="3" s="1"/>
  <c r="BE120" i="3"/>
  <c r="BI120" i="3" s="1"/>
  <c r="BM120" i="3" s="1"/>
  <c r="BE52" i="3"/>
  <c r="BI52" i="3" s="1"/>
  <c r="BM52" i="3" s="1"/>
  <c r="BE137" i="3"/>
  <c r="BI137" i="3" s="1"/>
  <c r="BM137" i="3" s="1"/>
  <c r="BE27" i="3"/>
  <c r="BI27" i="3" s="1"/>
  <c r="BM27" i="3" s="1"/>
  <c r="BE204" i="3"/>
  <c r="BI204" i="3" s="1"/>
  <c r="BM204" i="3" s="1"/>
  <c r="BE196" i="3"/>
  <c r="BI196" i="3" s="1"/>
  <c r="BM196" i="3" s="1"/>
  <c r="BE37" i="3"/>
  <c r="BI37" i="3" s="1"/>
  <c r="BM37" i="3" s="1"/>
  <c r="BE15" i="3"/>
  <c r="BI15" i="3" s="1"/>
  <c r="BM15" i="3" s="1"/>
  <c r="BE76" i="3"/>
  <c r="BI76" i="3" s="1"/>
  <c r="BM76" i="3" s="1"/>
  <c r="BE80" i="3"/>
  <c r="BI80" i="3" s="1"/>
  <c r="BM80" i="3" s="1"/>
  <c r="BE59" i="3"/>
  <c r="BI59" i="3" s="1"/>
  <c r="BM59" i="3" s="1"/>
  <c r="BE46" i="3"/>
  <c r="BI46" i="3" s="1"/>
  <c r="BM46" i="3" s="1"/>
  <c r="BE123" i="3"/>
  <c r="BI123" i="3" s="1"/>
  <c r="BM123" i="3" s="1"/>
  <c r="BE56" i="3"/>
  <c r="BI56" i="3" s="1"/>
  <c r="BM56" i="3" s="1"/>
  <c r="BE140" i="3"/>
  <c r="BI140" i="3" s="1"/>
  <c r="BM140" i="3" s="1"/>
  <c r="BE41" i="3"/>
  <c r="BI41" i="3" s="1"/>
  <c r="BM41" i="3" s="1"/>
  <c r="BE205" i="3"/>
  <c r="BI205" i="3" s="1"/>
  <c r="BM205" i="3" s="1"/>
  <c r="BE197" i="3"/>
  <c r="BI197" i="3" s="1"/>
  <c r="BM197" i="3" s="1"/>
  <c r="BE17" i="3"/>
  <c r="BI17" i="3" s="1"/>
  <c r="BM17" i="3" s="1"/>
  <c r="BE39" i="3"/>
  <c r="BI39" i="3" s="1"/>
  <c r="BM39" i="3" s="1"/>
  <c r="BE185" i="3"/>
  <c r="BI185" i="3" s="1"/>
  <c r="BM185" i="3" s="1"/>
  <c r="BE147" i="3"/>
  <c r="BI147" i="3" s="1"/>
  <c r="BM147" i="3" s="1"/>
  <c r="BE44" i="3"/>
  <c r="BI44" i="3" s="1"/>
  <c r="BM44" i="3" s="1"/>
  <c r="BE142" i="3"/>
  <c r="BI142" i="3" s="1"/>
  <c r="BM142" i="3" s="1"/>
  <c r="BE149" i="3"/>
  <c r="BI149" i="3" s="1"/>
  <c r="BM149" i="3" s="1"/>
  <c r="BE136" i="3"/>
  <c r="BI136" i="3" s="1"/>
  <c r="BM136" i="3" s="1"/>
  <c r="BE107" i="3"/>
  <c r="BI107" i="3" s="1"/>
  <c r="BM107" i="3" s="1"/>
  <c r="BE75" i="3"/>
  <c r="BI75" i="3" s="1"/>
  <c r="BM75" i="3" s="1"/>
  <c r="BE138" i="3"/>
  <c r="BI138" i="3" s="1"/>
  <c r="BM138" i="3" s="1"/>
  <c r="BE61" i="3"/>
  <c r="BI61" i="3" s="1"/>
  <c r="BM61" i="3" s="1"/>
  <c r="BE68" i="3"/>
  <c r="BI68" i="3" s="1"/>
  <c r="BM68" i="3" s="1"/>
  <c r="BE60" i="3"/>
  <c r="BI60" i="3" s="1"/>
  <c r="BM60" i="3" s="1"/>
  <c r="BE66" i="3"/>
  <c r="BI66" i="3" s="1"/>
  <c r="BM66" i="3" s="1"/>
  <c r="BE145" i="3"/>
  <c r="BI145" i="3" s="1"/>
  <c r="BM145" i="3" s="1"/>
  <c r="BE48" i="3"/>
  <c r="BI48" i="3" s="1"/>
  <c r="BM48" i="3" s="1"/>
  <c r="BE206" i="3"/>
  <c r="BI206" i="3" s="1"/>
  <c r="BM206" i="3" s="1"/>
  <c r="BE198" i="3"/>
  <c r="BI198" i="3" s="1"/>
  <c r="BM198" i="3" s="1"/>
  <c r="BE19" i="3"/>
  <c r="BI19" i="3" s="1"/>
  <c r="BM19" i="3" s="1"/>
  <c r="BE40" i="3"/>
  <c r="BI40" i="3" s="1"/>
  <c r="BM40" i="3" s="1"/>
  <c r="BE45" i="3"/>
  <c r="BI45" i="3" s="1"/>
  <c r="BM45" i="3" s="1"/>
  <c r="BE190" i="3"/>
  <c r="BI190" i="3" s="1"/>
  <c r="BM190" i="3" s="1"/>
  <c r="BE126" i="3"/>
  <c r="BI126" i="3" s="1"/>
  <c r="BM126" i="3" s="1"/>
  <c r="BE69" i="3"/>
  <c r="BI69" i="3" s="1"/>
  <c r="BM69" i="3" s="1"/>
  <c r="BE58" i="3"/>
  <c r="BI58" i="3" s="1"/>
  <c r="BM58" i="3" s="1"/>
  <c r="BE20" i="3"/>
  <c r="BI20" i="3" s="1"/>
  <c r="BM20" i="3" s="1"/>
  <c r="BE11" i="3"/>
  <c r="BI11" i="3" s="1"/>
  <c r="BM11" i="3" s="1"/>
  <c r="BE183" i="3"/>
  <c r="BI183" i="3" s="1"/>
  <c r="BM183" i="3" s="1"/>
  <c r="BE21" i="3"/>
  <c r="BI21" i="3" s="1"/>
  <c r="BM21" i="3" s="1"/>
  <c r="BE129" i="3"/>
  <c r="BI129" i="3" s="1"/>
  <c r="BM129" i="3" s="1"/>
  <c r="BE73" i="3"/>
  <c r="BI73" i="3" s="1"/>
  <c r="BM73" i="3" s="1"/>
  <c r="BE64" i="3"/>
  <c r="BI64" i="3" s="1"/>
  <c r="BM64" i="3" s="1"/>
  <c r="BE12" i="3"/>
  <c r="BI12" i="3" s="1"/>
  <c r="BM12" i="3" s="1"/>
  <c r="BE16" i="3"/>
  <c r="BI16" i="3" s="1"/>
  <c r="BM16" i="3" s="1"/>
  <c r="BE181" i="3"/>
  <c r="BI181" i="3" s="1"/>
  <c r="BM181" i="3" s="1"/>
  <c r="BE34" i="3"/>
  <c r="BI34" i="3" s="1"/>
  <c r="BM34" i="3" s="1"/>
  <c r="BE132" i="3"/>
  <c r="BI132" i="3" s="1"/>
  <c r="BM132" i="3" s="1"/>
  <c r="BE70" i="3"/>
  <c r="BI70" i="3" s="1"/>
  <c r="BM70" i="3" s="1"/>
  <c r="BE31" i="3"/>
  <c r="BI31" i="3" s="1"/>
  <c r="BM31" i="3" s="1"/>
  <c r="BE53" i="3"/>
  <c r="BI53" i="3" s="1"/>
  <c r="BM53" i="3" s="1"/>
  <c r="BE135" i="3"/>
  <c r="BI135" i="3" s="1"/>
  <c r="BM135" i="3" s="1"/>
  <c r="BE151" i="3"/>
  <c r="BI151" i="3" s="1"/>
  <c r="BM151" i="3" s="1"/>
  <c r="BE42" i="3"/>
  <c r="BI42" i="3" s="1"/>
  <c r="BM42" i="3" s="1"/>
  <c r="BE112" i="3"/>
  <c r="BI112" i="3" s="1"/>
  <c r="BM112" i="3" s="1"/>
  <c r="BE89" i="3"/>
  <c r="BI89" i="3" s="1"/>
  <c r="BM89" i="3" s="1"/>
  <c r="BE54" i="3"/>
  <c r="BI54" i="3" s="1"/>
  <c r="BM54" i="3" s="1"/>
  <c r="BE28" i="3"/>
  <c r="BI28" i="3" s="1"/>
  <c r="BM28" i="3" s="1"/>
  <c r="BE153" i="3"/>
  <c r="BI153" i="3" s="1"/>
  <c r="BM153" i="3" s="1"/>
  <c r="BE85" i="3"/>
  <c r="BI85" i="3" s="1"/>
  <c r="BM85" i="3" s="1"/>
  <c r="BE35" i="3"/>
  <c r="BI35" i="3" s="1"/>
  <c r="BM35" i="3" s="1"/>
  <c r="BE84" i="3"/>
  <c r="BI84" i="3" s="1"/>
  <c r="BM84" i="3" s="1"/>
  <c r="BE160" i="3"/>
  <c r="BI160" i="3" s="1"/>
  <c r="BM160" i="3" s="1"/>
  <c r="BE91" i="3"/>
  <c r="BI91" i="3" s="1"/>
  <c r="BM91" i="3" s="1"/>
  <c r="BE65" i="3"/>
  <c r="BI65" i="3" s="1"/>
  <c r="BM65" i="3" s="1"/>
  <c r="BE67" i="3"/>
  <c r="BI67" i="3" s="1"/>
  <c r="BM67" i="3" s="1"/>
  <c r="BE38" i="3"/>
  <c r="BI38" i="3" s="1"/>
  <c r="BM38" i="3" s="1"/>
  <c r="BE72" i="3"/>
  <c r="BI72" i="3" s="1"/>
  <c r="BM72" i="3" s="1"/>
  <c r="BE62" i="3"/>
  <c r="BI62" i="3" s="1"/>
  <c r="BM62" i="3" s="1"/>
  <c r="BE96" i="3"/>
  <c r="BI96" i="3" s="1"/>
  <c r="BM96" i="3" s="1"/>
  <c r="BE103" i="3"/>
  <c r="BI103" i="3" s="1"/>
  <c r="BM103" i="3" s="1"/>
  <c r="BE100" i="3"/>
  <c r="BI100" i="3" s="1"/>
  <c r="BM100" i="3" s="1"/>
  <c r="BE74" i="3"/>
  <c r="BI74" i="3" s="1"/>
  <c r="BM74" i="3" s="1"/>
  <c r="BE102" i="3"/>
  <c r="BI102" i="3" s="1"/>
  <c r="BM102" i="3" s="1"/>
  <c r="BE164" i="3"/>
  <c r="BI164" i="3" s="1"/>
  <c r="BM164" i="3" s="1"/>
  <c r="BE106" i="3"/>
  <c r="BI106" i="3" s="1"/>
  <c r="BM106" i="3" s="1"/>
  <c r="BE82" i="3"/>
  <c r="BI82" i="3" s="1"/>
  <c r="BM82" i="3" s="1"/>
  <c r="BE141" i="3"/>
  <c r="BI141" i="3" s="1"/>
  <c r="BM141" i="3" s="1"/>
  <c r="BE90" i="3"/>
  <c r="BI90" i="3" s="1"/>
  <c r="BM90" i="3" s="1"/>
  <c r="BE161" i="3"/>
  <c r="BI161" i="3" s="1"/>
  <c r="BM161" i="3" s="1"/>
  <c r="BE97" i="3"/>
  <c r="BI97" i="3" s="1"/>
  <c r="BM97" i="3" s="1"/>
  <c r="BE71" i="3"/>
  <c r="BI71" i="3" s="1"/>
  <c r="BM71" i="3" s="1"/>
  <c r="BE88" i="3"/>
  <c r="BI88" i="3" s="1"/>
  <c r="BM88" i="3" s="1"/>
  <c r="BE202" i="3"/>
  <c r="BI202" i="3" s="1"/>
  <c r="BM202" i="3" s="1"/>
  <c r="BE49" i="3"/>
  <c r="BI49" i="3" s="1"/>
  <c r="BM49" i="3" s="1"/>
  <c r="BE144" i="3"/>
  <c r="BI144" i="3" s="1"/>
  <c r="BM144" i="3" s="1"/>
  <c r="BE93" i="3"/>
  <c r="BI93" i="3" s="1"/>
  <c r="BM93" i="3" s="1"/>
  <c r="BE162" i="3"/>
  <c r="BI162" i="3" s="1"/>
  <c r="BM162" i="3" s="1"/>
  <c r="BE78" i="3"/>
  <c r="BI78" i="3" s="1"/>
  <c r="BM78" i="3" s="1"/>
  <c r="BE94" i="3"/>
  <c r="BI94" i="3" s="1"/>
  <c r="BM94" i="3" s="1"/>
  <c r="BE201" i="3"/>
  <c r="BI201" i="3" s="1"/>
  <c r="BM201" i="3" s="1"/>
  <c r="BE79" i="3"/>
  <c r="BI79" i="3" s="1"/>
  <c r="BM79" i="3" s="1"/>
  <c r="BE146" i="3"/>
  <c r="BI146" i="3" s="1"/>
  <c r="BM146" i="3" s="1"/>
  <c r="BE163" i="3"/>
  <c r="BI163" i="3" s="1"/>
  <c r="BM163" i="3" s="1"/>
  <c r="BE87" i="3"/>
  <c r="BI87" i="3" s="1"/>
  <c r="BM87" i="3" s="1"/>
  <c r="BE200" i="3"/>
  <c r="BI200" i="3" s="1"/>
  <c r="BM200" i="3" s="1"/>
  <c r="BE81" i="3"/>
  <c r="BI81" i="3" s="1"/>
  <c r="BM81" i="3" s="1"/>
  <c r="BE148" i="3"/>
  <c r="BI148" i="3" s="1"/>
  <c r="BM148" i="3" s="1"/>
  <c r="BE108" i="3"/>
  <c r="BI108" i="3" s="1"/>
  <c r="BM108" i="3" s="1"/>
  <c r="BE199" i="3"/>
  <c r="BI199" i="3" s="1"/>
  <c r="BM199" i="3" s="1"/>
  <c r="BE13" i="3"/>
  <c r="BI13" i="3" s="1"/>
  <c r="BM13" i="3" s="1"/>
  <c r="BE86" i="3"/>
  <c r="BI86" i="3" s="1"/>
  <c r="BM86" i="3" s="1"/>
  <c r="AG13" i="3"/>
  <c r="AZ13" i="3" s="1"/>
  <c r="BA13" i="3" s="1"/>
  <c r="BR13" i="3" s="1"/>
  <c r="BS13" i="3" s="1"/>
  <c r="BE95" i="3"/>
  <c r="BI95" i="3" s="1"/>
  <c r="BM95" i="3" s="1"/>
  <c r="BE174" i="3"/>
  <c r="BI174" i="3" s="1"/>
  <c r="BM174" i="3" s="1"/>
  <c r="BE118" i="3"/>
  <c r="BI118" i="3" s="1"/>
  <c r="BM118" i="3" s="1"/>
  <c r="BE172" i="3"/>
  <c r="BI172" i="3" s="1"/>
  <c r="BM172" i="3" s="1"/>
  <c r="BE24" i="3"/>
  <c r="BI24" i="3" s="1"/>
  <c r="BM24" i="3" s="1"/>
  <c r="BE8" i="3"/>
  <c r="BI8" i="3" s="1"/>
  <c r="BM8" i="3" s="1"/>
  <c r="AE11" i="3"/>
  <c r="AL11" i="3" s="1"/>
  <c r="AE20" i="3"/>
  <c r="AL20" i="3" s="1"/>
  <c r="BE179" i="3"/>
  <c r="BI179" i="3" s="1"/>
  <c r="BM179" i="3" s="1"/>
  <c r="BE113" i="3"/>
  <c r="BI113" i="3" s="1"/>
  <c r="BM113" i="3" s="1"/>
  <c r="BE23" i="3"/>
  <c r="BI23" i="3" s="1"/>
  <c r="BM23" i="3" s="1"/>
  <c r="BE110" i="3"/>
  <c r="BI110" i="3" s="1"/>
  <c r="BM110" i="3" s="1"/>
  <c r="BE29" i="3"/>
  <c r="BI29" i="3" s="1"/>
  <c r="BM29" i="3" s="1"/>
  <c r="BE177" i="3"/>
  <c r="BI177" i="3" s="1"/>
  <c r="BM177" i="3" s="1"/>
  <c r="BE170" i="3"/>
  <c r="BI170" i="3" s="1"/>
  <c r="BM170" i="3" s="1"/>
  <c r="AV18" i="3"/>
  <c r="Z18" i="3"/>
  <c r="BJ18" i="3"/>
  <c r="BQ108" i="3"/>
  <c r="BT108" i="3" s="1"/>
  <c r="BQ192" i="3"/>
  <c r="BT192" i="3" s="1"/>
  <c r="BQ107" i="3"/>
  <c r="BT177" i="3"/>
  <c r="BQ126" i="3"/>
  <c r="BT126" i="3" s="1"/>
  <c r="BT29" i="3"/>
  <c r="BQ45" i="3"/>
  <c r="BQ57" i="3"/>
  <c r="BT57" i="3" s="1"/>
  <c r="BQ14" i="3"/>
  <c r="BT14" i="3" s="1"/>
  <c r="BT131" i="3"/>
  <c r="BQ7" i="3"/>
  <c r="BT7" i="3" s="1"/>
  <c r="BQ100" i="3"/>
  <c r="BT100" i="3" s="1"/>
  <c r="BQ196" i="3"/>
  <c r="BQ109" i="3"/>
  <c r="BQ147" i="3"/>
  <c r="BQ179" i="3"/>
  <c r="BT179" i="3" s="1"/>
  <c r="BQ118" i="3"/>
  <c r="BT118" i="3" s="1"/>
  <c r="BQ30" i="3"/>
  <c r="BT30" i="3" s="1"/>
  <c r="BT45" i="3"/>
  <c r="BT136" i="3"/>
  <c r="BT77" i="3"/>
  <c r="BQ73" i="3"/>
  <c r="BT73" i="3" s="1"/>
  <c r="BT80" i="3"/>
  <c r="BQ157" i="3"/>
  <c r="BQ128" i="3"/>
  <c r="BT128" i="3" s="1"/>
  <c r="BQ92" i="3"/>
  <c r="BT92" i="3" s="1"/>
  <c r="BT196" i="3"/>
  <c r="BQ111" i="3"/>
  <c r="BT111" i="3" s="1"/>
  <c r="BQ149" i="3"/>
  <c r="BT149" i="3" s="1"/>
  <c r="BQ181" i="3"/>
  <c r="BT181" i="3" s="1"/>
  <c r="BQ94" i="3"/>
  <c r="BT94" i="3" s="1"/>
  <c r="BQ31" i="3"/>
  <c r="BT31" i="3" s="1"/>
  <c r="BQ46" i="3"/>
  <c r="BT46" i="3" s="1"/>
  <c r="BQ58" i="3"/>
  <c r="BT58" i="3" s="1"/>
  <c r="BT26" i="3"/>
  <c r="BQ117" i="3"/>
  <c r="BT117" i="3" s="1"/>
  <c r="BQ33" i="3"/>
  <c r="BT33" i="3" s="1"/>
  <c r="BT147" i="3"/>
  <c r="BQ48" i="3"/>
  <c r="BT48" i="3" s="1"/>
  <c r="BQ146" i="3"/>
  <c r="BQ187" i="3"/>
  <c r="BT187" i="3" s="1"/>
  <c r="BQ62" i="3"/>
  <c r="BT62" i="3" s="1"/>
  <c r="BQ75" i="3"/>
  <c r="BT75" i="3" s="1"/>
  <c r="BQ96" i="3"/>
  <c r="BT96" i="3" s="1"/>
  <c r="BQ84" i="3"/>
  <c r="BT84" i="3" s="1"/>
  <c r="BQ202" i="3"/>
  <c r="BT202" i="3" s="1"/>
  <c r="BQ113" i="3"/>
  <c r="BT113" i="3" s="1"/>
  <c r="BQ151" i="3"/>
  <c r="BT151" i="3" s="1"/>
  <c r="BQ183" i="3"/>
  <c r="BT183" i="3" s="1"/>
  <c r="BQ86" i="3"/>
  <c r="BT86" i="3" s="1"/>
  <c r="BQ18" i="3"/>
  <c r="BT18" i="3" s="1"/>
  <c r="BQ59" i="3"/>
  <c r="BT59" i="3" s="1"/>
  <c r="P10" i="3"/>
  <c r="BQ76" i="3"/>
  <c r="BT76" i="3" s="1"/>
  <c r="BQ115" i="3"/>
  <c r="BQ32" i="3"/>
  <c r="BT32" i="3" s="1"/>
  <c r="BQ47" i="3"/>
  <c r="BQ60" i="3"/>
  <c r="BT60" i="3" s="1"/>
  <c r="BT146" i="3"/>
  <c r="BQ206" i="3"/>
  <c r="BT206" i="3" s="1"/>
  <c r="BQ153" i="3"/>
  <c r="BT153" i="3" s="1"/>
  <c r="BQ185" i="3"/>
  <c r="BT185" i="3" s="1"/>
  <c r="BT47" i="3"/>
  <c r="BQ71" i="3"/>
  <c r="BT71" i="3" s="1"/>
  <c r="BQ119" i="3"/>
  <c r="BT119" i="3" s="1"/>
  <c r="BQ8" i="3"/>
  <c r="BT8" i="3" s="1"/>
  <c r="BQ61" i="3"/>
  <c r="BT61" i="3" s="1"/>
  <c r="BT148" i="3"/>
  <c r="BQ88" i="3"/>
  <c r="BT88" i="3" s="1"/>
  <c r="BQ155" i="3"/>
  <c r="BT155" i="3" s="1"/>
  <c r="BQ34" i="3"/>
  <c r="BT34" i="3" s="1"/>
  <c r="BQ114" i="3"/>
  <c r="BT114" i="3" s="1"/>
  <c r="BQ123" i="3"/>
  <c r="BT123" i="3" s="1"/>
  <c r="BQ189" i="3"/>
  <c r="BT189" i="3" s="1"/>
  <c r="BQ90" i="3"/>
  <c r="BT90" i="3" s="1"/>
  <c r="BQ17" i="3"/>
  <c r="BT17" i="3" s="1"/>
  <c r="BQ77" i="3"/>
  <c r="BQ125" i="3"/>
  <c r="BT125" i="3" s="1"/>
  <c r="BQ159" i="3"/>
  <c r="BT159" i="3" s="1"/>
  <c r="BQ191" i="3"/>
  <c r="BT191" i="3" s="1"/>
  <c r="BQ20" i="3"/>
  <c r="BT20" i="3" s="1"/>
  <c r="BT35" i="3"/>
  <c r="BQ63" i="3"/>
  <c r="BT63" i="3" s="1"/>
  <c r="BT85" i="3"/>
  <c r="BT157" i="3"/>
  <c r="BQ160" i="3"/>
  <c r="BQ195" i="3"/>
  <c r="BT195" i="3" s="1"/>
  <c r="BQ65" i="3"/>
  <c r="BT65" i="3" s="1"/>
  <c r="BT168" i="3"/>
  <c r="BQ164" i="3"/>
  <c r="BT164" i="3" s="1"/>
  <c r="BQ131" i="3"/>
  <c r="BQ163" i="3"/>
  <c r="BT163" i="3" s="1"/>
  <c r="BQ38" i="3"/>
  <c r="BT38" i="3" s="1"/>
  <c r="BQ66" i="3"/>
  <c r="BT66" i="3" s="1"/>
  <c r="BT171" i="3"/>
  <c r="BQ156" i="3"/>
  <c r="BQ79" i="3"/>
  <c r="BT79" i="3" s="1"/>
  <c r="BQ127" i="3"/>
  <c r="BT127" i="3" s="1"/>
  <c r="BQ193" i="3"/>
  <c r="BT193" i="3" s="1"/>
  <c r="BQ19" i="3"/>
  <c r="BQ36" i="3"/>
  <c r="BT36" i="3" s="1"/>
  <c r="BQ50" i="3"/>
  <c r="BQ64" i="3"/>
  <c r="BT91" i="3"/>
  <c r="BT160" i="3"/>
  <c r="BT156" i="3"/>
  <c r="BQ81" i="3"/>
  <c r="BT81" i="3" s="1"/>
  <c r="BQ129" i="3"/>
  <c r="BT129" i="3" s="1"/>
  <c r="BQ161" i="3"/>
  <c r="BT161" i="3" s="1"/>
  <c r="BT19" i="3"/>
  <c r="BQ21" i="3"/>
  <c r="BT21" i="3" s="1"/>
  <c r="BQ37" i="3"/>
  <c r="BT37" i="3" s="1"/>
  <c r="BT50" i="3"/>
  <c r="BT64" i="3"/>
  <c r="BT93" i="3"/>
  <c r="BQ16" i="3"/>
  <c r="BT16" i="3" s="1"/>
  <c r="BQ152" i="3"/>
  <c r="BT152" i="3" s="1"/>
  <c r="BQ83" i="3"/>
  <c r="BT83" i="3" s="1"/>
  <c r="BQ51" i="3"/>
  <c r="BQ85" i="3"/>
  <c r="BQ197" i="3"/>
  <c r="BT197" i="3" s="1"/>
  <c r="BQ23" i="3"/>
  <c r="BT23" i="3" s="1"/>
  <c r="BT51" i="3"/>
  <c r="BT107" i="3"/>
  <c r="BQ15" i="3"/>
  <c r="BT15" i="3" s="1"/>
  <c r="AF8" i="3"/>
  <c r="AF10" i="3"/>
  <c r="AG10" i="3" s="1"/>
  <c r="AF12" i="3"/>
  <c r="AF18" i="3"/>
  <c r="AF14" i="3"/>
  <c r="AF16" i="3"/>
  <c r="AF19" i="3"/>
  <c r="AF20" i="3"/>
  <c r="J5" i="5"/>
  <c r="Q5" i="5" s="1"/>
  <c r="R5" i="5" s="1"/>
  <c r="BE175" i="3"/>
  <c r="BI175" i="3" s="1"/>
  <c r="BM175" i="3" s="1"/>
  <c r="BE143" i="3"/>
  <c r="BI143" i="3" s="1"/>
  <c r="BM143" i="3" s="1"/>
  <c r="BE33" i="3"/>
  <c r="BI33" i="3" s="1"/>
  <c r="BM33" i="3" s="1"/>
  <c r="BE50" i="3"/>
  <c r="BI50" i="3" s="1"/>
  <c r="BM50" i="3" s="1"/>
  <c r="BE131" i="3"/>
  <c r="BI131" i="3" s="1"/>
  <c r="BM131" i="3" s="1"/>
  <c r="BE119" i="3"/>
  <c r="BI119" i="3" s="1"/>
  <c r="BM119" i="3" s="1"/>
  <c r="BE194" i="3"/>
  <c r="BI194" i="3" s="1"/>
  <c r="BM194" i="3" s="1"/>
  <c r="BE193" i="3"/>
  <c r="BI193" i="3" s="1"/>
  <c r="BM193" i="3" s="1"/>
  <c r="BE192" i="3"/>
  <c r="BI192" i="3" s="1"/>
  <c r="BM192" i="3" s="1"/>
  <c r="BQ53" i="3"/>
  <c r="BT53" i="3" s="1"/>
  <c r="BQ172" i="3"/>
  <c r="BT172" i="3" s="1"/>
  <c r="BQ150" i="3"/>
  <c r="BT150" i="3" s="1"/>
  <c r="BE43" i="3"/>
  <c r="BI43" i="3" s="1"/>
  <c r="BM43" i="3" s="1"/>
  <c r="BE173" i="3"/>
  <c r="BI173" i="3" s="1"/>
  <c r="BM173" i="3" s="1"/>
  <c r="BE125" i="3"/>
  <c r="BI125" i="3" s="1"/>
  <c r="BM125" i="3" s="1"/>
  <c r="Z7" i="3"/>
  <c r="BE51" i="3"/>
  <c r="BI51" i="3" s="1"/>
  <c r="BM51" i="3" s="1"/>
  <c r="BE158" i="3"/>
  <c r="BI158" i="3" s="1"/>
  <c r="BM158" i="3" s="1"/>
  <c r="BB113" i="3"/>
  <c r="BD113" i="3" s="1"/>
  <c r="BE122" i="3"/>
  <c r="BI122" i="3" s="1"/>
  <c r="BM122" i="3" s="1"/>
  <c r="BQ25" i="3"/>
  <c r="BT25" i="3" s="1"/>
  <c r="BB148" i="3"/>
  <c r="BD148" i="3" s="1"/>
  <c r="BE155" i="3"/>
  <c r="BI155" i="3" s="1"/>
  <c r="BM155" i="3" s="1"/>
  <c r="BQ120" i="3"/>
  <c r="BT120" i="3" s="1"/>
  <c r="BT124" i="3"/>
  <c r="BT24" i="3"/>
  <c r="BB97" i="3"/>
  <c r="BD97" i="3" s="1"/>
  <c r="BQ176" i="3"/>
  <c r="BT176" i="3" s="1"/>
  <c r="BE191" i="3"/>
  <c r="BI191" i="3" s="1"/>
  <c r="BM191" i="3" s="1"/>
  <c r="BE26" i="3"/>
  <c r="BI26" i="3" s="1"/>
  <c r="BM26" i="3" s="1"/>
  <c r="BE184" i="3"/>
  <c r="BI184" i="3" s="1"/>
  <c r="BM184" i="3" s="1"/>
  <c r="BE152" i="3"/>
  <c r="BI152" i="3" s="1"/>
  <c r="BM152" i="3" s="1"/>
  <c r="BE22" i="3"/>
  <c r="BI22" i="3" s="1"/>
  <c r="BM22" i="3" s="1"/>
  <c r="BE182" i="3"/>
  <c r="BI182" i="3" s="1"/>
  <c r="BM182" i="3" s="1"/>
  <c r="BE187" i="3"/>
  <c r="BI187" i="3" s="1"/>
  <c r="BM187" i="3" s="1"/>
  <c r="BE150" i="3"/>
  <c r="BI150" i="3" s="1"/>
  <c r="BM150" i="3" s="1"/>
  <c r="BT116" i="3"/>
  <c r="BQ12" i="3"/>
  <c r="BT12" i="3" s="1"/>
  <c r="BQ168" i="3"/>
  <c r="M8" i="5"/>
  <c r="BT115" i="3"/>
  <c r="BQ52" i="3"/>
  <c r="BT52" i="3" s="1"/>
  <c r="AC20" i="3"/>
  <c r="AJ20" i="3" s="1"/>
  <c r="AF15" i="3"/>
  <c r="BE9" i="3"/>
  <c r="BI9" i="3" s="1"/>
  <c r="BM9" i="3" s="1"/>
  <c r="BE167" i="3"/>
  <c r="BI167" i="3" s="1"/>
  <c r="BM167" i="3" s="1"/>
  <c r="BT112" i="3"/>
  <c r="BQ49" i="3"/>
  <c r="BT49" i="3" s="1"/>
  <c r="AC17" i="3"/>
  <c r="AJ17" i="3" s="1"/>
  <c r="AF11" i="3"/>
  <c r="BE10" i="3"/>
  <c r="BI10" i="3" s="1"/>
  <c r="BM10" i="3" s="1"/>
  <c r="BQ116" i="3"/>
  <c r="BE139" i="3"/>
  <c r="BI139" i="3" s="1"/>
  <c r="BM139" i="3" s="1"/>
  <c r="BE166" i="3"/>
  <c r="BI166" i="3" s="1"/>
  <c r="BM166" i="3" s="1"/>
  <c r="BE111" i="3"/>
  <c r="BI111" i="3" s="1"/>
  <c r="BM111" i="3" s="1"/>
  <c r="BE178" i="3"/>
  <c r="BI178" i="3" s="1"/>
  <c r="BM178" i="3" s="1"/>
  <c r="BE171" i="3"/>
  <c r="BI171" i="3" s="1"/>
  <c r="BM171" i="3" s="1"/>
  <c r="BE159" i="3"/>
  <c r="BI159" i="3" s="1"/>
  <c r="BM159" i="3" s="1"/>
  <c r="BE169" i="3"/>
  <c r="BI169" i="3" s="1"/>
  <c r="BM169" i="3" s="1"/>
  <c r="BE57" i="3"/>
  <c r="BI57" i="3" s="1"/>
  <c r="BM57" i="3" s="1"/>
  <c r="BB98" i="3"/>
  <c r="BD98" i="3" s="1"/>
  <c r="BE134" i="3"/>
  <c r="BI134" i="3" s="1"/>
  <c r="BM134" i="3" s="1"/>
  <c r="BE157" i="3"/>
  <c r="BI157" i="3" s="1"/>
  <c r="BM157" i="3" s="1"/>
  <c r="BQ55" i="3"/>
  <c r="BT55" i="3" s="1"/>
  <c r="BE25" i="3"/>
  <c r="BI25" i="3" s="1"/>
  <c r="BM25" i="3" s="1"/>
  <c r="BQ145" i="3"/>
  <c r="BT145" i="3" s="1"/>
  <c r="BE156" i="3"/>
  <c r="BI156" i="3" s="1"/>
  <c r="BM156" i="3" s="1"/>
  <c r="BE32" i="3"/>
  <c r="BI32" i="3" s="1"/>
  <c r="BM32" i="3" s="1"/>
  <c r="BQ180" i="3"/>
  <c r="BT180" i="3" s="1"/>
  <c r="BQ54" i="3"/>
  <c r="BT54" i="3" s="1"/>
  <c r="BE30" i="3"/>
  <c r="BI30" i="3" s="1"/>
  <c r="BM30" i="3" s="1"/>
  <c r="BQ143" i="3"/>
  <c r="BT143" i="3" s="1"/>
  <c r="BE116" i="3"/>
  <c r="BI116" i="3" s="1"/>
  <c r="BM116" i="3" s="1"/>
  <c r="BE154" i="3"/>
  <c r="BI154" i="3" s="1"/>
  <c r="BM154" i="3" s="1"/>
  <c r="BQ24" i="3"/>
  <c r="BQ141" i="3"/>
  <c r="BT141" i="3" s="1"/>
  <c r="BE188" i="3"/>
  <c r="BI188" i="3" s="1"/>
  <c r="BM188" i="3" s="1"/>
  <c r="AV17" i="3"/>
  <c r="BQ139" i="3"/>
  <c r="BT139" i="3" s="1"/>
  <c r="BE168" i="3"/>
  <c r="BI168" i="3" s="1"/>
  <c r="BM168" i="3" s="1"/>
  <c r="BC97" i="3"/>
  <c r="BG97" i="3" s="1"/>
  <c r="BQ137" i="3"/>
  <c r="BT137" i="3" s="1"/>
  <c r="BE180" i="3"/>
  <c r="BI180" i="3" s="1"/>
  <c r="BM180" i="3" s="1"/>
  <c r="BE114" i="3"/>
  <c r="BI114" i="3" s="1"/>
  <c r="BM114" i="3" s="1"/>
  <c r="BT109" i="3"/>
  <c r="BT44" i="3"/>
  <c r="AC13" i="3"/>
  <c r="AF7" i="3"/>
  <c r="AG7" i="3" s="1"/>
  <c r="AZ7" i="3" s="1"/>
  <c r="BA7" i="3" s="1"/>
  <c r="BE18" i="3"/>
  <c r="BI18" i="3" s="1"/>
  <c r="BM18" i="3" s="1"/>
  <c r="BQ135" i="3"/>
  <c r="BT135" i="3" s="1"/>
  <c r="BQ124" i="3"/>
  <c r="BE127" i="3"/>
  <c r="BI127" i="3" s="1"/>
  <c r="BM127" i="3" s="1"/>
  <c r="BE165" i="3"/>
  <c r="BI165" i="3" s="1"/>
  <c r="BM165" i="3" s="1"/>
  <c r="BE104" i="3"/>
  <c r="BI104" i="3" s="1"/>
  <c r="BM104" i="3" s="1"/>
  <c r="AW14" i="3"/>
  <c r="AW18" i="3"/>
  <c r="AT15" i="3"/>
  <c r="BQ158" i="3"/>
  <c r="BT158" i="3" s="1"/>
  <c r="BQ110" i="3"/>
  <c r="BT110" i="3" s="1"/>
  <c r="AS9" i="3"/>
  <c r="AT11" i="3"/>
  <c r="AY12" i="3"/>
  <c r="BQ204" i="3"/>
  <c r="BT204" i="3" s="1"/>
  <c r="AS10" i="3"/>
  <c r="Z16" i="3"/>
  <c r="AT20" i="3"/>
  <c r="AY14" i="3"/>
  <c r="AV12" i="3"/>
  <c r="AT19" i="3"/>
  <c r="AW19" i="3"/>
  <c r="BQ182" i="3"/>
  <c r="BT182" i="3" s="1"/>
  <c r="BQ134" i="3"/>
  <c r="BT134" i="3" s="1"/>
  <c r="AS11" i="3"/>
  <c r="AW12" i="3"/>
  <c r="BJ15" i="3"/>
  <c r="AV20" i="3"/>
  <c r="AT18" i="3"/>
  <c r="AY15" i="3"/>
  <c r="BQ154" i="3"/>
  <c r="BT154" i="3" s="1"/>
  <c r="BQ106" i="3"/>
  <c r="BT106" i="3" s="1"/>
  <c r="AV8" i="3"/>
  <c r="AT14" i="3"/>
  <c r="BQ201" i="3"/>
  <c r="BT201" i="3" s="1"/>
  <c r="AS14" i="3"/>
  <c r="BQ200" i="3"/>
  <c r="BT200" i="3" s="1"/>
  <c r="AV14" i="3"/>
  <c r="AW11" i="3"/>
  <c r="AS16" i="3"/>
  <c r="AS8" i="3"/>
  <c r="AW7" i="3"/>
  <c r="BQ198" i="3"/>
  <c r="BT198" i="3" s="1"/>
  <c r="BQ174" i="3"/>
  <c r="BT174" i="3" s="1"/>
  <c r="BQ102" i="3"/>
  <c r="BT102" i="3" s="1"/>
  <c r="BQ78" i="3"/>
  <c r="BT78" i="3" s="1"/>
  <c r="AT8" i="3"/>
  <c r="AW9" i="3"/>
  <c r="BQ178" i="3"/>
  <c r="BT178" i="3" s="1"/>
  <c r="BQ82" i="3"/>
  <c r="BT82" i="3" s="1"/>
  <c r="AS13" i="3"/>
  <c r="AV11" i="3"/>
  <c r="AS15" i="3"/>
  <c r="AT10" i="3"/>
  <c r="AS17" i="3"/>
  <c r="BF52" i="3"/>
  <c r="AS18" i="3"/>
  <c r="BF38" i="3"/>
  <c r="AW17" i="3"/>
  <c r="AT16" i="3"/>
  <c r="BQ130" i="3"/>
  <c r="BT130" i="3" s="1"/>
  <c r="AW20" i="3"/>
  <c r="AY19" i="3"/>
  <c r="AW15" i="3"/>
  <c r="AT12" i="3"/>
  <c r="AS19" i="3"/>
  <c r="AY20" i="3"/>
  <c r="AY21" i="3" s="1"/>
  <c r="AY22" i="3" s="1"/>
  <c r="AY23" i="3" s="1"/>
  <c r="AY24" i="3" s="1"/>
  <c r="AY25" i="3" s="1"/>
  <c r="AY26" i="3" s="1"/>
  <c r="AY27" i="3" s="1"/>
  <c r="AY28" i="3" s="1"/>
  <c r="AY29" i="3" s="1"/>
  <c r="AY30" i="3" s="1"/>
  <c r="AY31" i="3" s="1"/>
  <c r="AY32" i="3" s="1"/>
  <c r="AY33" i="3" s="1"/>
  <c r="AY34" i="3" s="1"/>
  <c r="AY35" i="3" s="1"/>
  <c r="AY36" i="3" s="1"/>
  <c r="AY37" i="3" s="1"/>
  <c r="AY38" i="3" s="1"/>
  <c r="AY39" i="3" s="1"/>
  <c r="AY40" i="3" s="1"/>
  <c r="AY41" i="3" s="1"/>
  <c r="AY42" i="3" s="1"/>
  <c r="AY43" i="3" s="1"/>
  <c r="AY44" i="3" s="1"/>
  <c r="AY45" i="3" s="1"/>
  <c r="AY46" i="3" s="1"/>
  <c r="AY47" i="3" s="1"/>
  <c r="AY48" i="3" s="1"/>
  <c r="AY49" i="3" s="1"/>
  <c r="AY50" i="3" s="1"/>
  <c r="AY51" i="3" s="1"/>
  <c r="AY52" i="3" s="1"/>
  <c r="AY53" i="3" s="1"/>
  <c r="AY54" i="3" s="1"/>
  <c r="AY55" i="3" s="1"/>
  <c r="AY56" i="3" s="1"/>
  <c r="AY57" i="3" s="1"/>
  <c r="AY58" i="3" s="1"/>
  <c r="AY59" i="3" s="1"/>
  <c r="AY60" i="3" s="1"/>
  <c r="AY61" i="3" s="1"/>
  <c r="AY62" i="3" s="1"/>
  <c r="AY63" i="3" s="1"/>
  <c r="AY64" i="3" s="1"/>
  <c r="AY65" i="3" s="1"/>
  <c r="AY66" i="3" s="1"/>
  <c r="AY67" i="3" s="1"/>
  <c r="AY68" i="3" s="1"/>
  <c r="AY69" i="3" s="1"/>
  <c r="AY70" i="3" s="1"/>
  <c r="AY71" i="3" s="1"/>
  <c r="AY72" i="3" s="1"/>
  <c r="AY73" i="3" s="1"/>
  <c r="AY74" i="3" s="1"/>
  <c r="AY75" i="3" s="1"/>
  <c r="AY76" i="3" s="1"/>
  <c r="AY77" i="3" s="1"/>
  <c r="AY78" i="3" s="1"/>
  <c r="AY79" i="3" s="1"/>
  <c r="AY80" i="3" s="1"/>
  <c r="AY81" i="3" s="1"/>
  <c r="AY82" i="3" s="1"/>
  <c r="AY83" i="3" s="1"/>
  <c r="AY84" i="3" s="1"/>
  <c r="AY85" i="3" s="1"/>
  <c r="AY86" i="3" s="1"/>
  <c r="AY87" i="3" s="1"/>
  <c r="AY88" i="3" s="1"/>
  <c r="AY89" i="3" s="1"/>
  <c r="AY90" i="3" s="1"/>
  <c r="AY91" i="3" s="1"/>
  <c r="AY92" i="3" s="1"/>
  <c r="AY93" i="3" s="1"/>
  <c r="AY94" i="3" s="1"/>
  <c r="AY95" i="3" s="1"/>
  <c r="AY96" i="3" s="1"/>
  <c r="AY97" i="3" s="1"/>
  <c r="AY98" i="3" s="1"/>
  <c r="AY99" i="3" s="1"/>
  <c r="AY100" i="3" s="1"/>
  <c r="AY101" i="3" s="1"/>
  <c r="AY102" i="3" s="1"/>
  <c r="AY103" i="3" s="1"/>
  <c r="AY104" i="3" s="1"/>
  <c r="AY105" i="3" s="1"/>
  <c r="AY106" i="3" s="1"/>
  <c r="AY107" i="3" s="1"/>
  <c r="AY108" i="3" s="1"/>
  <c r="AY109" i="3" s="1"/>
  <c r="AY110" i="3" s="1"/>
  <c r="AY111" i="3" s="1"/>
  <c r="AY112" i="3" s="1"/>
  <c r="AY113" i="3" s="1"/>
  <c r="AY114" i="3" s="1"/>
  <c r="AY115" i="3" s="1"/>
  <c r="AY116" i="3" s="1"/>
  <c r="AY117" i="3" s="1"/>
  <c r="AY118" i="3" s="1"/>
  <c r="AY119" i="3" s="1"/>
  <c r="AY120" i="3" s="1"/>
  <c r="AY121" i="3" s="1"/>
  <c r="AY122" i="3" s="1"/>
  <c r="AY123" i="3" s="1"/>
  <c r="AY124" i="3" s="1"/>
  <c r="AY125" i="3" s="1"/>
  <c r="AY126" i="3" s="1"/>
  <c r="AY127" i="3" s="1"/>
  <c r="AY128" i="3" s="1"/>
  <c r="AY129" i="3" s="1"/>
  <c r="AY130" i="3" s="1"/>
  <c r="AY131" i="3" s="1"/>
  <c r="AY132" i="3" s="1"/>
  <c r="AY133" i="3" s="1"/>
  <c r="AY134" i="3" s="1"/>
  <c r="AY135" i="3" s="1"/>
  <c r="AY136" i="3" s="1"/>
  <c r="AY137" i="3" s="1"/>
  <c r="AY138" i="3" s="1"/>
  <c r="AY139" i="3" s="1"/>
  <c r="AY140" i="3" s="1"/>
  <c r="AY141" i="3" s="1"/>
  <c r="AY142" i="3" s="1"/>
  <c r="AY143" i="3" s="1"/>
  <c r="AY144" i="3" s="1"/>
  <c r="AY145" i="3" s="1"/>
  <c r="AY146" i="3" s="1"/>
  <c r="AY147" i="3" s="1"/>
  <c r="AY148" i="3" s="1"/>
  <c r="AY149" i="3" s="1"/>
  <c r="AY150" i="3" s="1"/>
  <c r="AY151" i="3" s="1"/>
  <c r="AY152" i="3" s="1"/>
  <c r="AY153" i="3" s="1"/>
  <c r="AY154" i="3" s="1"/>
  <c r="AY155" i="3" s="1"/>
  <c r="AY156" i="3" s="1"/>
  <c r="AY157" i="3" s="1"/>
  <c r="AY158" i="3" s="1"/>
  <c r="AY159" i="3" s="1"/>
  <c r="AY160" i="3" s="1"/>
  <c r="AY161" i="3" s="1"/>
  <c r="AY162" i="3" s="1"/>
  <c r="AY163" i="3" s="1"/>
  <c r="AY164" i="3" s="1"/>
  <c r="AY165" i="3" s="1"/>
  <c r="AY166" i="3" s="1"/>
  <c r="AY167" i="3" s="1"/>
  <c r="AY168" i="3" s="1"/>
  <c r="AY169" i="3" s="1"/>
  <c r="AY170" i="3" s="1"/>
  <c r="AY171" i="3" s="1"/>
  <c r="AY172" i="3" s="1"/>
  <c r="AY173" i="3" s="1"/>
  <c r="AY174" i="3" s="1"/>
  <c r="AY175" i="3" s="1"/>
  <c r="AY176" i="3" s="1"/>
  <c r="AY177" i="3" s="1"/>
  <c r="AY178" i="3" s="1"/>
  <c r="AY179" i="3" s="1"/>
  <c r="AY180" i="3" s="1"/>
  <c r="AY181" i="3" s="1"/>
  <c r="AY182" i="3" s="1"/>
  <c r="AY183" i="3" s="1"/>
  <c r="AY184" i="3" s="1"/>
  <c r="AY185" i="3" s="1"/>
  <c r="AY186" i="3" s="1"/>
  <c r="AY187" i="3" s="1"/>
  <c r="AY188" i="3" s="1"/>
  <c r="AY189" i="3" s="1"/>
  <c r="AY190" i="3" s="1"/>
  <c r="AY191" i="3" s="1"/>
  <c r="AY192" i="3" s="1"/>
  <c r="AY193" i="3" s="1"/>
  <c r="AY194" i="3" s="1"/>
  <c r="AY195" i="3" s="1"/>
  <c r="AY196" i="3" s="1"/>
  <c r="AY197" i="3" s="1"/>
  <c r="AY198" i="3" s="1"/>
  <c r="AY199" i="3" s="1"/>
  <c r="AY200" i="3" s="1"/>
  <c r="AY201" i="3" s="1"/>
  <c r="AY202" i="3" s="1"/>
  <c r="AY203" i="3" s="1"/>
  <c r="AY204" i="3" s="1"/>
  <c r="AY205" i="3" s="1"/>
  <c r="AY206" i="3" s="1"/>
  <c r="L4" i="5"/>
  <c r="S4" i="5" s="1"/>
  <c r="BJ25" i="3"/>
  <c r="BF85" i="3"/>
  <c r="BF135" i="3"/>
  <c r="BQ194" i="3"/>
  <c r="BT194" i="3" s="1"/>
  <c r="BQ170" i="3"/>
  <c r="BT170" i="3" s="1"/>
  <c r="BQ122" i="3"/>
  <c r="BT122" i="3" s="1"/>
  <c r="BQ98" i="3"/>
  <c r="BT98" i="3" s="1"/>
  <c r="BQ74" i="3"/>
  <c r="BT74" i="3" s="1"/>
  <c r="BQ9" i="3"/>
  <c r="BT9" i="3" s="1"/>
  <c r="BJ175" i="3"/>
  <c r="BF206" i="3"/>
  <c r="AU7" i="3"/>
  <c r="BJ206" i="3"/>
  <c r="AU19" i="3"/>
  <c r="M10" i="5"/>
  <c r="BF87" i="3"/>
  <c r="BF75" i="3"/>
  <c r="BJ124" i="3"/>
  <c r="BJ85" i="3"/>
  <c r="BB153" i="3"/>
  <c r="BC153" i="3" s="1"/>
  <c r="BB156" i="3"/>
  <c r="BD156" i="3" s="1"/>
  <c r="BH156" i="3" s="1"/>
  <c r="AJ16" i="3"/>
  <c r="BD82" i="3"/>
  <c r="BC82" i="3"/>
  <c r="BC148" i="3"/>
  <c r="H11" i="5"/>
  <c r="O11" i="5" s="1"/>
  <c r="P11" i="5" s="1"/>
  <c r="I5" i="5"/>
  <c r="N5" i="5" s="1"/>
  <c r="V5" i="5" s="1"/>
  <c r="I8" i="5"/>
  <c r="H6" i="5"/>
  <c r="O6" i="5" s="1"/>
  <c r="P6" i="5" s="1"/>
  <c r="H8" i="5"/>
  <c r="O8" i="5" s="1"/>
  <c r="P8" i="5" s="1"/>
  <c r="I9" i="5"/>
  <c r="N9" i="5" s="1"/>
  <c r="V9" i="5" s="1"/>
  <c r="I4" i="5"/>
  <c r="N4" i="5" s="1"/>
  <c r="V4" i="5" s="1"/>
  <c r="BF33" i="3"/>
  <c r="BF198" i="3"/>
  <c r="BF167" i="3"/>
  <c r="BF159" i="3"/>
  <c r="BF144" i="3"/>
  <c r="BF13" i="3"/>
  <c r="BF199" i="3"/>
  <c r="BF193" i="3"/>
  <c r="BF8" i="3"/>
  <c r="BF200" i="3"/>
  <c r="BF162" i="3"/>
  <c r="BF154" i="3"/>
  <c r="BF205" i="3"/>
  <c r="BF194" i="3"/>
  <c r="BF92" i="3"/>
  <c r="BF170" i="3"/>
  <c r="BF174" i="3"/>
  <c r="BF189" i="3"/>
  <c r="BF105" i="3"/>
  <c r="BF181" i="3"/>
  <c r="BF185" i="3"/>
  <c r="BF15" i="3"/>
  <c r="BF165" i="3"/>
  <c r="BF157" i="3"/>
  <c r="BF7" i="3"/>
  <c r="BF203" i="3"/>
  <c r="BF191" i="3"/>
  <c r="BF151" i="3"/>
  <c r="BF14" i="3"/>
  <c r="BF204" i="3"/>
  <c r="BF168" i="3"/>
  <c r="BF160" i="3"/>
  <c r="BF192" i="3"/>
  <c r="BF145" i="3"/>
  <c r="BF171" i="3"/>
  <c r="BF175" i="3"/>
  <c r="BF24" i="3"/>
  <c r="BF107" i="3"/>
  <c r="BF182" i="3"/>
  <c r="BF186" i="3"/>
  <c r="BF187" i="3"/>
  <c r="BF12" i="3"/>
  <c r="BF163" i="3"/>
  <c r="BF155" i="3"/>
  <c r="BF166" i="3"/>
  <c r="BF158" i="3"/>
  <c r="BF10" i="3"/>
  <c r="BF197" i="3"/>
  <c r="BF178" i="3"/>
  <c r="BF41" i="3"/>
  <c r="BF172" i="3"/>
  <c r="BF176" i="3"/>
  <c r="BF60" i="3"/>
  <c r="BF179" i="3"/>
  <c r="BF183" i="3"/>
  <c r="BF190" i="3"/>
  <c r="BF17" i="3"/>
  <c r="BF164" i="3"/>
  <c r="BF177" i="3"/>
  <c r="BF54" i="3"/>
  <c r="BF134" i="3"/>
  <c r="BF130" i="3"/>
  <c r="BF108" i="3"/>
  <c r="BF147" i="3"/>
  <c r="BF50" i="3"/>
  <c r="BF71" i="3"/>
  <c r="BF81" i="3"/>
  <c r="BF99" i="3"/>
  <c r="BF119" i="3"/>
  <c r="BF131" i="3"/>
  <c r="BF141" i="3"/>
  <c r="BF32" i="3"/>
  <c r="BF78" i="3"/>
  <c r="BF96" i="3"/>
  <c r="BF161" i="3"/>
  <c r="BF196" i="3"/>
  <c r="BF156" i="3"/>
  <c r="BF9" i="3"/>
  <c r="BF63" i="3"/>
  <c r="BF59" i="3"/>
  <c r="BF153" i="3"/>
  <c r="BG153" i="3" s="1"/>
  <c r="BF146" i="3"/>
  <c r="BF110" i="3"/>
  <c r="BF148" i="3"/>
  <c r="BF53" i="3"/>
  <c r="BF72" i="3"/>
  <c r="BF82" i="3"/>
  <c r="BF102" i="3"/>
  <c r="BF123" i="3"/>
  <c r="BF136" i="3"/>
  <c r="BF142" i="3"/>
  <c r="BF57" i="3"/>
  <c r="BF79" i="3"/>
  <c r="BF152" i="3"/>
  <c r="BF184" i="3"/>
  <c r="BF91" i="3"/>
  <c r="BF74" i="3"/>
  <c r="BF149" i="3"/>
  <c r="BF42" i="3"/>
  <c r="BF28" i="3"/>
  <c r="BF77" i="3"/>
  <c r="BF118" i="3"/>
  <c r="BF140" i="3"/>
  <c r="BF73" i="3"/>
  <c r="BF100" i="3"/>
  <c r="BF112" i="3"/>
  <c r="BF137" i="3"/>
  <c r="BF46" i="3"/>
  <c r="BF90" i="3"/>
  <c r="BF103" i="3"/>
  <c r="BF120" i="3"/>
  <c r="BF132" i="3"/>
  <c r="BF21" i="3"/>
  <c r="BF47" i="3"/>
  <c r="BF64" i="3"/>
  <c r="BF76" i="3"/>
  <c r="BF11" i="3"/>
  <c r="BF30" i="3"/>
  <c r="BF27" i="3"/>
  <c r="BF44" i="3"/>
  <c r="BF16" i="3"/>
  <c r="BF188" i="3"/>
  <c r="BF169" i="3"/>
  <c r="BF122" i="3"/>
  <c r="BF88" i="3"/>
  <c r="BF150" i="3"/>
  <c r="BF61" i="3"/>
  <c r="BF89" i="3"/>
  <c r="BF125" i="3"/>
  <c r="BF143" i="3"/>
  <c r="BF80" i="3"/>
  <c r="BF106" i="3"/>
  <c r="BF127" i="3"/>
  <c r="BF138" i="3"/>
  <c r="BF62" i="3"/>
  <c r="BF94" i="3"/>
  <c r="BF104" i="3"/>
  <c r="BF121" i="3"/>
  <c r="BF133" i="3"/>
  <c r="BF36" i="3"/>
  <c r="BF49" i="3"/>
  <c r="BF67" i="3"/>
  <c r="BF83" i="3"/>
  <c r="BF18" i="3"/>
  <c r="BF34" i="3"/>
  <c r="BF31" i="3"/>
  <c r="BF48" i="3"/>
  <c r="AA12" i="3"/>
  <c r="AH12" i="3" s="1"/>
  <c r="AI12" i="3" s="1"/>
  <c r="AA13" i="3"/>
  <c r="AH13" i="3" s="1"/>
  <c r="AI13" i="3" s="1"/>
  <c r="AA20" i="3"/>
  <c r="AH20" i="3" s="1"/>
  <c r="AI20" i="3" s="1"/>
  <c r="AA19" i="3"/>
  <c r="AH19" i="3" s="1"/>
  <c r="AI19" i="3" s="1"/>
  <c r="AA17" i="3"/>
  <c r="AH17" i="3" s="1"/>
  <c r="AI17" i="3" s="1"/>
  <c r="AA9" i="3"/>
  <c r="AH9" i="3" s="1"/>
  <c r="AI9" i="3" s="1"/>
  <c r="AK9" i="3" s="1"/>
  <c r="AB18" i="3"/>
  <c r="AG18" i="3" s="1"/>
  <c r="AB16" i="3"/>
  <c r="AG16" i="3" s="1"/>
  <c r="AB14" i="3"/>
  <c r="AG14" i="3" s="1"/>
  <c r="AA15" i="3"/>
  <c r="AH15" i="3" s="1"/>
  <c r="AI15" i="3" s="1"/>
  <c r="AB17" i="3"/>
  <c r="AB9" i="3"/>
  <c r="AG9" i="3" s="1"/>
  <c r="AA11" i="3"/>
  <c r="AH11" i="3" s="1"/>
  <c r="AI11" i="3" s="1"/>
  <c r="AB12" i="3"/>
  <c r="AG12" i="3" s="1"/>
  <c r="BB34" i="3"/>
  <c r="BF26" i="3"/>
  <c r="BJ35" i="3"/>
  <c r="BB8" i="3"/>
  <c r="H4" i="5"/>
  <c r="O4" i="5" s="1"/>
  <c r="P4" i="5" s="1"/>
  <c r="R4" i="5" s="1"/>
  <c r="T4" i="5" s="1"/>
  <c r="BF19" i="3"/>
  <c r="BF20" i="3"/>
  <c r="AA18" i="3"/>
  <c r="AH18" i="3" s="1"/>
  <c r="AI18" i="3" s="1"/>
  <c r="BF40" i="3"/>
  <c r="BF84" i="3"/>
  <c r="BF93" i="3"/>
  <c r="BF66" i="3"/>
  <c r="BJ141" i="3"/>
  <c r="BJ118" i="3"/>
  <c r="BF115" i="3"/>
  <c r="BJ133" i="3"/>
  <c r="BB131" i="3"/>
  <c r="BB58" i="3"/>
  <c r="BJ187" i="3"/>
  <c r="BJ9" i="3"/>
  <c r="L11" i="5"/>
  <c r="S11" i="5" s="1"/>
  <c r="L5" i="5"/>
  <c r="S5" i="5" s="1"/>
  <c r="L8" i="5"/>
  <c r="S8" i="5" s="1"/>
  <c r="L10" i="5"/>
  <c r="S10" i="5" s="1"/>
  <c r="L6" i="5"/>
  <c r="S6" i="5" s="1"/>
  <c r="L9" i="5"/>
  <c r="S9" i="5" s="1"/>
  <c r="J9" i="5"/>
  <c r="Q9" i="5" s="1"/>
  <c r="J7" i="5"/>
  <c r="Q7" i="5" s="1"/>
  <c r="J6" i="5"/>
  <c r="Q6" i="5" s="1"/>
  <c r="J8" i="5"/>
  <c r="Q8" i="5" s="1"/>
  <c r="J11" i="5"/>
  <c r="Q11" i="5" s="1"/>
  <c r="BJ117" i="3"/>
  <c r="BJ169" i="3"/>
  <c r="BJ204" i="3"/>
  <c r="BJ183" i="3"/>
  <c r="BJ168" i="3"/>
  <c r="BJ128" i="3"/>
  <c r="BJ205" i="3"/>
  <c r="BJ185" i="3"/>
  <c r="BJ171" i="3"/>
  <c r="BJ170" i="3"/>
  <c r="BJ70" i="3"/>
  <c r="BJ162" i="3"/>
  <c r="BJ166" i="3"/>
  <c r="BJ188" i="3"/>
  <c r="BJ194" i="3"/>
  <c r="BJ155" i="3"/>
  <c r="BJ177" i="3"/>
  <c r="BJ7" i="3"/>
  <c r="BJ13" i="3"/>
  <c r="BJ195" i="3"/>
  <c r="BJ199" i="3"/>
  <c r="BJ179" i="3"/>
  <c r="BJ113" i="3"/>
  <c r="BJ182" i="3"/>
  <c r="BJ150" i="3"/>
  <c r="BJ198" i="3"/>
  <c r="BJ181" i="3"/>
  <c r="BJ159" i="3"/>
  <c r="BJ106" i="3"/>
  <c r="BJ163" i="3"/>
  <c r="BJ167" i="3"/>
  <c r="BJ191" i="3"/>
  <c r="BJ43" i="3"/>
  <c r="BJ156" i="3"/>
  <c r="BJ178" i="3"/>
  <c r="BJ189" i="3"/>
  <c r="BJ180" i="3"/>
  <c r="BJ17" i="3"/>
  <c r="BJ196" i="3"/>
  <c r="BJ176" i="3"/>
  <c r="BJ147" i="3"/>
  <c r="BJ197" i="3"/>
  <c r="BJ190" i="3"/>
  <c r="BJ101" i="3"/>
  <c r="BJ202" i="3"/>
  <c r="BJ160" i="3"/>
  <c r="BJ164" i="3"/>
  <c r="BJ186" i="3"/>
  <c r="BJ192" i="3"/>
  <c r="BJ87" i="3"/>
  <c r="BJ157" i="3"/>
  <c r="BJ149" i="3"/>
  <c r="BJ148" i="3"/>
  <c r="BJ172" i="3"/>
  <c r="BJ201" i="3"/>
  <c r="BJ174" i="3"/>
  <c r="BJ161" i="3"/>
  <c r="BJ154" i="3"/>
  <c r="BJ98" i="3"/>
  <c r="BJ152" i="3"/>
  <c r="BJ138" i="3"/>
  <c r="BJ73" i="3"/>
  <c r="BJ54" i="3"/>
  <c r="BJ63" i="3"/>
  <c r="BJ91" i="3"/>
  <c r="BJ107" i="3"/>
  <c r="BJ119" i="3"/>
  <c r="BJ130" i="3"/>
  <c r="BJ53" i="3"/>
  <c r="BJ71" i="3"/>
  <c r="BJ76" i="3"/>
  <c r="BJ86" i="3"/>
  <c r="BJ108" i="3"/>
  <c r="BJ135" i="3"/>
  <c r="BJ142" i="3"/>
  <c r="BJ66" i="3"/>
  <c r="BJ79" i="3"/>
  <c r="BJ95" i="3"/>
  <c r="BJ100" i="3"/>
  <c r="BJ116" i="3"/>
  <c r="BJ137" i="3"/>
  <c r="BJ200" i="3"/>
  <c r="BJ165" i="3"/>
  <c r="BJ158" i="3"/>
  <c r="BJ21" i="3"/>
  <c r="BJ112" i="3"/>
  <c r="BJ103" i="3"/>
  <c r="BJ145" i="3"/>
  <c r="BJ120" i="3"/>
  <c r="BJ41" i="3"/>
  <c r="BJ59" i="3"/>
  <c r="BJ64" i="3"/>
  <c r="BJ94" i="3"/>
  <c r="BJ114" i="3"/>
  <c r="BJ122" i="3"/>
  <c r="BJ134" i="3"/>
  <c r="BJ55" i="3"/>
  <c r="BJ72" i="3"/>
  <c r="BJ77" i="3"/>
  <c r="BJ88" i="3"/>
  <c r="BJ110" i="3"/>
  <c r="BJ136" i="3"/>
  <c r="BJ47" i="3"/>
  <c r="BJ67" i="3"/>
  <c r="BJ80" i="3"/>
  <c r="BJ96" i="3"/>
  <c r="BJ102" i="3"/>
  <c r="BJ123" i="3"/>
  <c r="BJ143" i="3"/>
  <c r="BJ173" i="3"/>
  <c r="BJ193" i="3"/>
  <c r="BJ144" i="3"/>
  <c r="BJ153" i="3"/>
  <c r="BJ62" i="3"/>
  <c r="BJ105" i="3"/>
  <c r="BJ129" i="3"/>
  <c r="BJ69" i="3"/>
  <c r="BJ82" i="3"/>
  <c r="BJ126" i="3"/>
  <c r="BJ58" i="3"/>
  <c r="BJ93" i="3"/>
  <c r="BJ111" i="3"/>
  <c r="BJ12" i="3"/>
  <c r="BJ16" i="3"/>
  <c r="BJ14" i="3"/>
  <c r="BJ26" i="3"/>
  <c r="BJ23" i="3"/>
  <c r="BJ39" i="3"/>
  <c r="BJ29" i="3"/>
  <c r="BJ37" i="3"/>
  <c r="BJ52" i="3"/>
  <c r="BJ151" i="3"/>
  <c r="BJ45" i="3"/>
  <c r="BJ42" i="3"/>
  <c r="BJ65" i="3"/>
  <c r="BJ115" i="3"/>
  <c r="BJ139" i="3"/>
  <c r="BJ74" i="3"/>
  <c r="BJ89" i="3"/>
  <c r="BJ140" i="3"/>
  <c r="BJ68" i="3"/>
  <c r="BJ97" i="3"/>
  <c r="BJ127" i="3"/>
  <c r="BJ11" i="3"/>
  <c r="BJ20" i="3"/>
  <c r="BJ19" i="3"/>
  <c r="BJ10" i="3"/>
  <c r="BJ30" i="3"/>
  <c r="BJ27" i="3"/>
  <c r="BJ24" i="3"/>
  <c r="BJ32" i="3"/>
  <c r="BJ40" i="3"/>
  <c r="BJ56" i="3"/>
  <c r="BB74" i="3"/>
  <c r="BC74" i="3" s="1"/>
  <c r="BG74" i="3" s="1"/>
  <c r="BB130" i="3"/>
  <c r="BD130" i="3" s="1"/>
  <c r="BH130" i="3" s="1"/>
  <c r="BB7" i="3"/>
  <c r="BB201" i="3"/>
  <c r="BD201" i="3" s="1"/>
  <c r="BB205" i="3"/>
  <c r="BB161" i="3"/>
  <c r="BB155" i="3"/>
  <c r="BB195" i="3"/>
  <c r="BC195" i="3" s="1"/>
  <c r="BG195" i="3" s="1"/>
  <c r="BB138" i="3"/>
  <c r="BC138" i="3" s="1"/>
  <c r="BB200" i="3"/>
  <c r="BC200" i="3" s="1"/>
  <c r="BB162" i="3"/>
  <c r="BB154" i="3"/>
  <c r="BD154" i="3" s="1"/>
  <c r="BB54" i="3"/>
  <c r="BB89" i="3"/>
  <c r="BB185" i="3"/>
  <c r="BB100" i="3"/>
  <c r="BB169" i="3"/>
  <c r="BB173" i="3"/>
  <c r="BC173" i="3" s="1"/>
  <c r="BG173" i="3" s="1"/>
  <c r="BB176" i="3"/>
  <c r="BB21" i="3"/>
  <c r="BB49" i="3"/>
  <c r="BB64" i="3"/>
  <c r="BD64" i="3" s="1"/>
  <c r="BB9" i="3"/>
  <c r="BB84" i="3"/>
  <c r="BD84" i="3" s="1"/>
  <c r="BB192" i="3"/>
  <c r="BC192" i="3" s="1"/>
  <c r="BG192" i="3" s="1"/>
  <c r="BB198" i="3"/>
  <c r="BD198" i="3" s="1"/>
  <c r="BH198" i="3" s="1"/>
  <c r="BB167" i="3"/>
  <c r="BD167" i="3" s="1"/>
  <c r="BH167" i="3" s="1"/>
  <c r="BB199" i="3"/>
  <c r="BD199" i="3" s="1"/>
  <c r="BB193" i="3"/>
  <c r="BD193" i="3" s="1"/>
  <c r="BB124" i="3"/>
  <c r="BB17" i="3"/>
  <c r="BD17" i="3" s="1"/>
  <c r="BB204" i="3"/>
  <c r="BC204" i="3" s="1"/>
  <c r="BB168" i="3"/>
  <c r="BD168" i="3" s="1"/>
  <c r="BB160" i="3"/>
  <c r="BB182" i="3"/>
  <c r="BC182" i="3" s="1"/>
  <c r="BG182" i="3" s="1"/>
  <c r="BB186" i="3"/>
  <c r="BD186" i="3" s="1"/>
  <c r="BB170" i="3"/>
  <c r="BB194" i="3"/>
  <c r="BB202" i="3"/>
  <c r="BB189" i="3"/>
  <c r="BB165" i="3"/>
  <c r="BB159" i="3"/>
  <c r="BC159" i="3" s="1"/>
  <c r="BB81" i="3"/>
  <c r="BC81" i="3" s="1"/>
  <c r="BB13" i="3"/>
  <c r="BB203" i="3"/>
  <c r="BC203" i="3" s="1"/>
  <c r="BG203" i="3" s="1"/>
  <c r="BK203" i="3" s="1"/>
  <c r="BB179" i="3"/>
  <c r="BC179" i="3" s="1"/>
  <c r="BB147" i="3"/>
  <c r="BB166" i="3"/>
  <c r="BC166" i="3" s="1"/>
  <c r="BB158" i="3"/>
  <c r="BD158" i="3" s="1"/>
  <c r="BB133" i="3"/>
  <c r="BC133" i="3" s="1"/>
  <c r="BB65" i="3"/>
  <c r="BD65" i="3" s="1"/>
  <c r="BB180" i="3"/>
  <c r="BC180" i="3" s="1"/>
  <c r="BB183" i="3"/>
  <c r="BB191" i="3"/>
  <c r="BB116" i="3"/>
  <c r="BD116" i="3" s="1"/>
  <c r="BB171" i="3"/>
  <c r="BC171" i="3" s="1"/>
  <c r="BB190" i="3"/>
  <c r="BB41" i="3"/>
  <c r="BB57" i="3"/>
  <c r="BD57" i="3" s="1"/>
  <c r="BB79" i="3"/>
  <c r="BB197" i="3"/>
  <c r="BC197" i="3" s="1"/>
  <c r="BB206" i="3"/>
  <c r="BD206" i="3" s="1"/>
  <c r="BH206" i="3" s="1"/>
  <c r="BL206" i="3" s="1"/>
  <c r="BB196" i="3"/>
  <c r="BD196" i="3" s="1"/>
  <c r="BB46" i="3"/>
  <c r="BC46" i="3" s="1"/>
  <c r="BB40" i="3"/>
  <c r="BC40" i="3" s="1"/>
  <c r="BG40" i="3" s="1"/>
  <c r="BB175" i="3"/>
  <c r="BD175" i="3" s="1"/>
  <c r="BB42" i="3"/>
  <c r="BB71" i="3"/>
  <c r="BC71" i="3" s="1"/>
  <c r="BB88" i="3"/>
  <c r="BB106" i="3"/>
  <c r="BB110" i="3"/>
  <c r="BB120" i="3"/>
  <c r="BB132" i="3"/>
  <c r="BB150" i="3"/>
  <c r="BB32" i="3"/>
  <c r="BB47" i="3"/>
  <c r="BD47" i="3" s="1"/>
  <c r="BB59" i="3"/>
  <c r="BD59" i="3" s="1"/>
  <c r="BB80" i="3"/>
  <c r="BB90" i="3"/>
  <c r="BB93" i="3"/>
  <c r="BB101" i="3"/>
  <c r="BB140" i="3"/>
  <c r="BB144" i="3"/>
  <c r="BB152" i="3"/>
  <c r="BB51" i="3"/>
  <c r="BB66" i="3"/>
  <c r="BB78" i="3"/>
  <c r="BB96" i="3"/>
  <c r="BB104" i="3"/>
  <c r="BB119" i="3"/>
  <c r="BB125" i="3"/>
  <c r="BB134" i="3"/>
  <c r="BD134" i="3" s="1"/>
  <c r="BB146" i="3"/>
  <c r="BB115" i="3"/>
  <c r="BB70" i="3"/>
  <c r="BB178" i="3"/>
  <c r="BD178" i="3" s="1"/>
  <c r="BH178" i="3" s="1"/>
  <c r="BB163" i="3"/>
  <c r="BD163" i="3" s="1"/>
  <c r="BB164" i="3"/>
  <c r="BC164" i="3" s="1"/>
  <c r="BB68" i="3"/>
  <c r="BB143" i="3"/>
  <c r="BB177" i="3"/>
  <c r="BB50" i="3"/>
  <c r="BB75" i="3"/>
  <c r="BB95" i="3"/>
  <c r="BB107" i="3"/>
  <c r="BB111" i="3"/>
  <c r="BC111" i="3" s="1"/>
  <c r="BB137" i="3"/>
  <c r="BB151" i="3"/>
  <c r="BB36" i="3"/>
  <c r="BC36" i="3" s="1"/>
  <c r="BB53" i="3"/>
  <c r="BB63" i="3"/>
  <c r="BB86" i="3"/>
  <c r="BD86" i="3" s="1"/>
  <c r="BB91" i="3"/>
  <c r="BD91" i="3" s="1"/>
  <c r="BB94" i="3"/>
  <c r="BB105" i="3"/>
  <c r="BB123" i="3"/>
  <c r="BB72" i="3"/>
  <c r="BB83" i="3"/>
  <c r="BD83" i="3" s="1"/>
  <c r="BB136" i="3"/>
  <c r="BB103" i="3"/>
  <c r="BB157" i="3"/>
  <c r="BB121" i="3"/>
  <c r="BB174" i="3"/>
  <c r="BB67" i="3"/>
  <c r="BB102" i="3"/>
  <c r="BB118" i="3"/>
  <c r="BD118" i="3" s="1"/>
  <c r="BH118" i="3" s="1"/>
  <c r="BB149" i="3"/>
  <c r="BB69" i="3"/>
  <c r="BB117" i="3"/>
  <c r="BB43" i="3"/>
  <c r="BD43" i="3" s="1"/>
  <c r="BB76" i="3"/>
  <c r="BB139" i="3"/>
  <c r="BB73" i="3"/>
  <c r="BB11" i="3"/>
  <c r="BB20" i="3"/>
  <c r="BB19" i="3"/>
  <c r="BB10" i="3"/>
  <c r="BD10" i="3" s="1"/>
  <c r="BB22" i="3"/>
  <c r="BB38" i="3"/>
  <c r="BB35" i="3"/>
  <c r="BB33" i="3"/>
  <c r="BB52" i="3"/>
  <c r="BB141" i="3"/>
  <c r="BD141" i="3" s="1"/>
  <c r="BB188" i="3"/>
  <c r="BB181" i="3"/>
  <c r="BB77" i="3"/>
  <c r="BB108" i="3"/>
  <c r="BB126" i="3"/>
  <c r="BB24" i="3"/>
  <c r="BB55" i="3"/>
  <c r="BB87" i="3"/>
  <c r="BB99" i="3"/>
  <c r="BB128" i="3"/>
  <c r="BB145" i="3"/>
  <c r="BB60" i="3"/>
  <c r="BB85" i="3"/>
  <c r="BB112" i="3"/>
  <c r="BB127" i="3"/>
  <c r="BB16" i="3"/>
  <c r="BB14" i="3"/>
  <c r="BD14" i="3" s="1"/>
  <c r="BB26" i="3"/>
  <c r="BB23" i="3"/>
  <c r="BB39" i="3"/>
  <c r="BB37" i="3"/>
  <c r="BB56" i="3"/>
  <c r="AE9" i="3"/>
  <c r="AL9" i="3" s="1"/>
  <c r="AE13" i="3"/>
  <c r="AL13" i="3" s="1"/>
  <c r="AE17" i="3"/>
  <c r="AL17" i="3" s="1"/>
  <c r="AE18" i="3"/>
  <c r="AL18" i="3" s="1"/>
  <c r="AE8" i="3"/>
  <c r="AL8" i="3" s="1"/>
  <c r="AE7" i="3"/>
  <c r="AL7" i="3" s="1"/>
  <c r="AE10" i="3"/>
  <c r="AL10" i="3" s="1"/>
  <c r="AE16" i="3"/>
  <c r="AL16" i="3" s="1"/>
  <c r="AE14" i="3"/>
  <c r="AL14" i="3" s="1"/>
  <c r="BB29" i="3"/>
  <c r="BF39" i="3"/>
  <c r="BJ36" i="3"/>
  <c r="BJ22" i="3"/>
  <c r="AE15" i="3"/>
  <c r="AL15" i="3" s="1"/>
  <c r="I10" i="5"/>
  <c r="AA7" i="3"/>
  <c r="AH7" i="3" s="1"/>
  <c r="AI7" i="3" s="1"/>
  <c r="BB18" i="3"/>
  <c r="BF70" i="3"/>
  <c r="BF113" i="3"/>
  <c r="BF128" i="3"/>
  <c r="BF126" i="3"/>
  <c r="BJ99" i="3"/>
  <c r="BJ75" i="3"/>
  <c r="BJ49" i="3"/>
  <c r="BB129" i="3"/>
  <c r="BB172" i="3"/>
  <c r="BF202" i="3"/>
  <c r="AB8" i="3"/>
  <c r="BB25" i="3"/>
  <c r="BB30" i="3"/>
  <c r="BF35" i="3"/>
  <c r="BF22" i="3"/>
  <c r="BJ33" i="3"/>
  <c r="BJ31" i="3"/>
  <c r="AA16" i="3"/>
  <c r="AH16" i="3" s="1"/>
  <c r="AI16" i="3" s="1"/>
  <c r="BJ8" i="3"/>
  <c r="AB15" i="3"/>
  <c r="AG15" i="3" s="1"/>
  <c r="I7" i="5"/>
  <c r="H9" i="5"/>
  <c r="O9" i="5" s="1"/>
  <c r="P9" i="5" s="1"/>
  <c r="R9" i="5" s="1"/>
  <c r="T9" i="5" s="1"/>
  <c r="U9" i="5" s="1"/>
  <c r="Z9" i="5" s="1"/>
  <c r="BB12" i="3"/>
  <c r="AE19" i="3"/>
  <c r="AL19" i="3" s="1"/>
  <c r="AB7" i="3"/>
  <c r="AB20" i="3"/>
  <c r="AB11" i="3"/>
  <c r="BF69" i="3"/>
  <c r="BF37" i="3"/>
  <c r="J4" i="5"/>
  <c r="Q4" i="5" s="1"/>
  <c r="H7" i="5"/>
  <c r="O7" i="5" s="1"/>
  <c r="P7" i="5" s="1"/>
  <c r="R7" i="5" s="1"/>
  <c r="T7" i="5" s="1"/>
  <c r="U7" i="5" s="1"/>
  <c r="Z7" i="5" s="1"/>
  <c r="BF129" i="3"/>
  <c r="BF101" i="3"/>
  <c r="BF45" i="3"/>
  <c r="BF111" i="3"/>
  <c r="BF68" i="3"/>
  <c r="BF116" i="3"/>
  <c r="BF25" i="3"/>
  <c r="BJ83" i="3"/>
  <c r="BJ125" i="3"/>
  <c r="BJ61" i="3"/>
  <c r="BJ104" i="3"/>
  <c r="BJ51" i="3"/>
  <c r="BF65" i="3"/>
  <c r="BJ121" i="3"/>
  <c r="BB122" i="3"/>
  <c r="BB142" i="3"/>
  <c r="BB92" i="3"/>
  <c r="BB45" i="3"/>
  <c r="BB114" i="3"/>
  <c r="BB61" i="3"/>
  <c r="BB184" i="3"/>
  <c r="BJ184" i="3"/>
  <c r="BB48" i="3"/>
  <c r="BB31" i="3"/>
  <c r="BF56" i="3"/>
  <c r="BF23" i="3"/>
  <c r="BJ48" i="3"/>
  <c r="BJ28" i="3"/>
  <c r="BJ38" i="3"/>
  <c r="BB15" i="3"/>
  <c r="I6" i="5"/>
  <c r="N6" i="5" s="1"/>
  <c r="V6" i="5" s="1"/>
  <c r="AJ7" i="3"/>
  <c r="AJ11" i="3"/>
  <c r="AK11" i="3" s="1"/>
  <c r="AJ13" i="3"/>
  <c r="AK13" i="3" s="1"/>
  <c r="AM13" i="3" s="1"/>
  <c r="AN13" i="3" s="1"/>
  <c r="AA10" i="3"/>
  <c r="AH10" i="3" s="1"/>
  <c r="AI10" i="3" s="1"/>
  <c r="AK10" i="3" s="1"/>
  <c r="AE12" i="3"/>
  <c r="AL12" i="3" s="1"/>
  <c r="AB19" i="3"/>
  <c r="BF86" i="3"/>
  <c r="BF58" i="3"/>
  <c r="H10" i="5"/>
  <c r="O10" i="5" s="1"/>
  <c r="P10" i="5" s="1"/>
  <c r="R10" i="5" s="1"/>
  <c r="BF124" i="3"/>
  <c r="BF98" i="3"/>
  <c r="BF43" i="3"/>
  <c r="BF109" i="3"/>
  <c r="BF29" i="3"/>
  <c r="BF95" i="3"/>
  <c r="BJ131" i="3"/>
  <c r="BJ78" i="3"/>
  <c r="BJ92" i="3"/>
  <c r="BJ50" i="3"/>
  <c r="BJ84" i="3"/>
  <c r="BJ46" i="3"/>
  <c r="BJ146" i="3"/>
  <c r="BJ90" i="3"/>
  <c r="BB62" i="3"/>
  <c r="BB135" i="3"/>
  <c r="BD135" i="3" s="1"/>
  <c r="BH135" i="3" s="1"/>
  <c r="BB28" i="3"/>
  <c r="BC28" i="3" s="1"/>
  <c r="BB109" i="3"/>
  <c r="BF180" i="3"/>
  <c r="BF201" i="3"/>
  <c r="BB187" i="3"/>
  <c r="BC187" i="3" s="1"/>
  <c r="K7" i="5"/>
  <c r="AW8" i="3"/>
  <c r="AW13" i="3"/>
  <c r="AC8" i="3"/>
  <c r="AJ8" i="3" s="1"/>
  <c r="AK8" i="3" s="1"/>
  <c r="AC15" i="3"/>
  <c r="AJ15" i="3" s="1"/>
  <c r="BD111" i="3"/>
  <c r="BC141" i="3"/>
  <c r="BD192" i="3"/>
  <c r="BH192" i="3" s="1"/>
  <c r="AU10" i="3"/>
  <c r="BD173" i="3"/>
  <c r="BH173" i="3" s="1"/>
  <c r="BD180" i="3"/>
  <c r="BC175" i="3"/>
  <c r="BD159" i="3"/>
  <c r="BH159" i="3" s="1"/>
  <c r="BD187" i="3"/>
  <c r="BH187" i="3" s="1"/>
  <c r="BC134" i="3"/>
  <c r="BC43" i="3"/>
  <c r="BC94" i="3"/>
  <c r="BG94" i="3" s="1"/>
  <c r="BD94" i="3"/>
  <c r="BC47" i="3"/>
  <c r="BG47" i="3" s="1"/>
  <c r="BK47" i="3" s="1"/>
  <c r="BC126" i="3"/>
  <c r="BG126" i="3" s="1"/>
  <c r="BD126" i="3"/>
  <c r="BH126" i="3" s="1"/>
  <c r="BD41" i="3"/>
  <c r="BH41" i="3" s="1"/>
  <c r="BC41" i="3"/>
  <c r="BG41" i="3" s="1"/>
  <c r="BC201" i="3"/>
  <c r="BC14" i="3"/>
  <c r="BG14" i="3" s="1"/>
  <c r="AW10" i="3"/>
  <c r="BK126" i="3" l="1"/>
  <c r="BC198" i="3"/>
  <c r="BG198" i="3" s="1"/>
  <c r="BK198" i="3" s="1"/>
  <c r="N8" i="5"/>
  <c r="V8" i="5" s="1"/>
  <c r="BC167" i="3"/>
  <c r="BG167" i="3" s="1"/>
  <c r="BK167" i="3" s="1"/>
  <c r="BG141" i="3"/>
  <c r="BK141" i="3" s="1"/>
  <c r="BK195" i="3"/>
  <c r="AQ13" i="3"/>
  <c r="AR13" i="3" s="1"/>
  <c r="AX13" i="3" s="1"/>
  <c r="BU13" i="3" s="1"/>
  <c r="BK94" i="3"/>
  <c r="BD200" i="3"/>
  <c r="BH200" i="3" s="1"/>
  <c r="BL200" i="3" s="1"/>
  <c r="AO13" i="3"/>
  <c r="BH116" i="3"/>
  <c r="BL116" i="3" s="1"/>
  <c r="BH17" i="3"/>
  <c r="BL17" i="3" s="1"/>
  <c r="BC135" i="3"/>
  <c r="BG135" i="3" s="1"/>
  <c r="BK135" i="3" s="1"/>
  <c r="BD133" i="3"/>
  <c r="BH133" i="3" s="1"/>
  <c r="BL133" i="3" s="1"/>
  <c r="AM14" i="3"/>
  <c r="AN14" i="3" s="1"/>
  <c r="BC186" i="3"/>
  <c r="AG8" i="3"/>
  <c r="AO8" i="3" s="1"/>
  <c r="BH59" i="3"/>
  <c r="BL59" i="3" s="1"/>
  <c r="BH193" i="3"/>
  <c r="BC98" i="3"/>
  <c r="BG98" i="3" s="1"/>
  <c r="BK98" i="3" s="1"/>
  <c r="BD171" i="3"/>
  <c r="BH171" i="3" s="1"/>
  <c r="BL171" i="3" s="1"/>
  <c r="BH47" i="3"/>
  <c r="BL47" i="3" s="1"/>
  <c r="BN47" i="3" s="1"/>
  <c r="AG17" i="3"/>
  <c r="AP17" i="3" s="1"/>
  <c r="BL187" i="3"/>
  <c r="BG197" i="3"/>
  <c r="BK197" i="3" s="1"/>
  <c r="BK74" i="3"/>
  <c r="BC154" i="3"/>
  <c r="BG154" i="3" s="1"/>
  <c r="BK154" i="3" s="1"/>
  <c r="BL126" i="3"/>
  <c r="BL130" i="3"/>
  <c r="BD195" i="3"/>
  <c r="BH195" i="3" s="1"/>
  <c r="BL195" i="3" s="1"/>
  <c r="BH83" i="3"/>
  <c r="BL83" i="3" s="1"/>
  <c r="BD204" i="3"/>
  <c r="AK19" i="3"/>
  <c r="BD81" i="3"/>
  <c r="BH81" i="3" s="1"/>
  <c r="BL81" i="3" s="1"/>
  <c r="AK12" i="3"/>
  <c r="AM12" i="3" s="1"/>
  <c r="AN12" i="3" s="1"/>
  <c r="BC199" i="3"/>
  <c r="BG199" i="3" s="1"/>
  <c r="BK199" i="3" s="1"/>
  <c r="BH10" i="3"/>
  <c r="BL10" i="3" s="1"/>
  <c r="BH91" i="3"/>
  <c r="BL91" i="3" s="1"/>
  <c r="BK40" i="3"/>
  <c r="BC57" i="3"/>
  <c r="BC206" i="3"/>
  <c r="BG206" i="3" s="1"/>
  <c r="BK206" i="3" s="1"/>
  <c r="AP13" i="3"/>
  <c r="BD182" i="3"/>
  <c r="BH182" i="3" s="1"/>
  <c r="BL182" i="3" s="1"/>
  <c r="BH134" i="3"/>
  <c r="BL134" i="3" s="1"/>
  <c r="BK14" i="3"/>
  <c r="BN14" i="3" s="1"/>
  <c r="BR14" i="3" s="1"/>
  <c r="BS14" i="3" s="1"/>
  <c r="BG81" i="3"/>
  <c r="BK81" i="3" s="1"/>
  <c r="BN81" i="3" s="1"/>
  <c r="T10" i="5"/>
  <c r="U10" i="5" s="1"/>
  <c r="Z10" i="5" s="1"/>
  <c r="BG134" i="3"/>
  <c r="BK134" i="3" s="1"/>
  <c r="BN134" i="3" s="1"/>
  <c r="AK15" i="3"/>
  <c r="AM15" i="3" s="1"/>
  <c r="BG71" i="3"/>
  <c r="BK71" i="3" s="1"/>
  <c r="AK20" i="3"/>
  <c r="AM20" i="3" s="1"/>
  <c r="AN20" i="3" s="1"/>
  <c r="BG175" i="3"/>
  <c r="BD166" i="3"/>
  <c r="BH14" i="3"/>
  <c r="BL14" i="3" s="1"/>
  <c r="BH86" i="3"/>
  <c r="BL86" i="3" s="1"/>
  <c r="BG46" i="3"/>
  <c r="BK46" i="3" s="1"/>
  <c r="BD46" i="3"/>
  <c r="BH46" i="3" s="1"/>
  <c r="BL46" i="3" s="1"/>
  <c r="BN46" i="3" s="1"/>
  <c r="BH97" i="3"/>
  <c r="AM11" i="3"/>
  <c r="AN11" i="3" s="1"/>
  <c r="BL173" i="3"/>
  <c r="BC64" i="3"/>
  <c r="BG64" i="3" s="1"/>
  <c r="BK64" i="3" s="1"/>
  <c r="AK7" i="3"/>
  <c r="AM7" i="3" s="1"/>
  <c r="AN7" i="3" s="1"/>
  <c r="BG36" i="3"/>
  <c r="R6" i="5"/>
  <c r="T6" i="5" s="1"/>
  <c r="U6" i="5" s="1"/>
  <c r="Z6" i="5" s="1"/>
  <c r="BL192" i="3"/>
  <c r="BN192" i="3" s="1"/>
  <c r="BC27" i="3"/>
  <c r="BG27" i="3" s="1"/>
  <c r="BK27" i="3" s="1"/>
  <c r="BG171" i="3"/>
  <c r="BK171" i="3" s="1"/>
  <c r="BH27" i="3"/>
  <c r="BL159" i="3"/>
  <c r="BD179" i="3"/>
  <c r="BH179" i="3" s="1"/>
  <c r="BL179" i="3" s="1"/>
  <c r="BL167" i="3"/>
  <c r="BN167" i="3" s="1"/>
  <c r="BC156" i="3"/>
  <c r="BG156" i="3" s="1"/>
  <c r="BK156" i="3" s="1"/>
  <c r="BN156" i="3" s="1"/>
  <c r="BC65" i="3"/>
  <c r="BG65" i="3" s="1"/>
  <c r="BK65" i="3" s="1"/>
  <c r="BN65" i="3" s="1"/>
  <c r="BC113" i="3"/>
  <c r="BG113" i="3" s="1"/>
  <c r="BK113" i="3" s="1"/>
  <c r="BN141" i="3"/>
  <c r="BH199" i="3"/>
  <c r="BL199" i="3" s="1"/>
  <c r="BN195" i="3"/>
  <c r="BC17" i="3"/>
  <c r="BG17" i="3" s="1"/>
  <c r="BK17" i="3" s="1"/>
  <c r="BH163" i="3"/>
  <c r="BL163" i="3" s="1"/>
  <c r="BK192" i="3"/>
  <c r="BC86" i="3"/>
  <c r="BG86" i="3" s="1"/>
  <c r="BK86" i="3" s="1"/>
  <c r="BN86" i="3" s="1"/>
  <c r="BL178" i="3"/>
  <c r="BG166" i="3"/>
  <c r="BK166" i="3" s="1"/>
  <c r="BD44" i="3"/>
  <c r="BH44" i="3" s="1"/>
  <c r="BL44" i="3" s="1"/>
  <c r="BN44" i="3" s="1"/>
  <c r="BL193" i="3"/>
  <c r="BG201" i="3"/>
  <c r="BK201" i="3" s="1"/>
  <c r="BG164" i="3"/>
  <c r="BK164" i="3" s="1"/>
  <c r="BG133" i="3"/>
  <c r="BK133" i="3" s="1"/>
  <c r="BN133" i="3" s="1"/>
  <c r="BH158" i="3"/>
  <c r="BL158" i="3" s="1"/>
  <c r="BC91" i="3"/>
  <c r="BG91" i="3" s="1"/>
  <c r="BK91" i="3" s="1"/>
  <c r="BN91" i="3" s="1"/>
  <c r="BC116" i="3"/>
  <c r="BG116" i="3" s="1"/>
  <c r="BK116" i="3" s="1"/>
  <c r="BD164" i="3"/>
  <c r="BH164" i="3" s="1"/>
  <c r="BL164" i="3" s="1"/>
  <c r="BN164" i="3" s="1"/>
  <c r="AG11" i="3"/>
  <c r="AP11" i="3" s="1"/>
  <c r="BH141" i="3"/>
  <c r="BL141" i="3" s="1"/>
  <c r="BK175" i="3"/>
  <c r="BH201" i="3"/>
  <c r="BL201" i="3" s="1"/>
  <c r="BG204" i="3"/>
  <c r="BK204" i="3" s="1"/>
  <c r="BD71" i="3"/>
  <c r="BH71" i="3" s="1"/>
  <c r="BL71" i="3" s="1"/>
  <c r="AG20" i="3"/>
  <c r="AO20" i="3" s="1"/>
  <c r="BG179" i="3"/>
  <c r="BK179" i="3" s="1"/>
  <c r="BH64" i="3"/>
  <c r="BL64" i="3" s="1"/>
  <c r="BH204" i="3"/>
  <c r="BL204" i="3" s="1"/>
  <c r="BC130" i="3"/>
  <c r="BG130" i="3" s="1"/>
  <c r="BK130" i="3" s="1"/>
  <c r="BN130" i="3" s="1"/>
  <c r="BC196" i="3"/>
  <c r="BH111" i="3"/>
  <c r="BL111" i="3" s="1"/>
  <c r="BG187" i="3"/>
  <c r="BK187" i="3" s="1"/>
  <c r="AG19" i="3"/>
  <c r="AZ19" i="3" s="1"/>
  <c r="BA19" i="3" s="1"/>
  <c r="BR19" i="3" s="1"/>
  <c r="BS19" i="3" s="1"/>
  <c r="BH166" i="3"/>
  <c r="BL166" i="3" s="1"/>
  <c r="BN166" i="3" s="1"/>
  <c r="BN206" i="3"/>
  <c r="BL97" i="3"/>
  <c r="BC118" i="3"/>
  <c r="BG118" i="3" s="1"/>
  <c r="BK118" i="3" s="1"/>
  <c r="AP7" i="3"/>
  <c r="BK182" i="3"/>
  <c r="BG200" i="3"/>
  <c r="BK200" i="3" s="1"/>
  <c r="AQ7" i="3"/>
  <c r="AR7" i="3" s="1"/>
  <c r="AX7" i="3" s="1"/>
  <c r="BU7" i="3" s="1"/>
  <c r="AO7" i="3"/>
  <c r="BG43" i="3"/>
  <c r="BK43" i="3" s="1"/>
  <c r="BC83" i="3"/>
  <c r="BG83" i="3" s="1"/>
  <c r="BK83" i="3" s="1"/>
  <c r="BC178" i="3"/>
  <c r="BG178" i="3" s="1"/>
  <c r="BK178" i="3" s="1"/>
  <c r="BC10" i="3"/>
  <c r="BG10" i="3" s="1"/>
  <c r="BK10" i="3" s="1"/>
  <c r="BC84" i="3"/>
  <c r="BG84" i="3" s="1"/>
  <c r="BK84" i="3" s="1"/>
  <c r="BN84" i="3" s="1"/>
  <c r="N7" i="5"/>
  <c r="V7" i="5" s="1"/>
  <c r="BD153" i="3"/>
  <c r="BH153" i="3" s="1"/>
  <c r="BL153" i="3" s="1"/>
  <c r="BH168" i="3"/>
  <c r="BL168" i="3" s="1"/>
  <c r="BG138" i="3"/>
  <c r="BK138" i="3" s="1"/>
  <c r="BG44" i="3"/>
  <c r="BK44" i="3" s="1"/>
  <c r="BD197" i="3"/>
  <c r="BH197" i="3" s="1"/>
  <c r="BL197" i="3" s="1"/>
  <c r="BN197" i="3" s="1"/>
  <c r="BD74" i="3"/>
  <c r="BH74" i="3" s="1"/>
  <c r="BL74" i="3" s="1"/>
  <c r="BD203" i="3"/>
  <c r="BH203" i="3" s="1"/>
  <c r="BL203" i="3" s="1"/>
  <c r="BN203" i="3" s="1"/>
  <c r="BG186" i="3"/>
  <c r="BK186" i="3" s="1"/>
  <c r="BD28" i="3"/>
  <c r="BH28" i="3" s="1"/>
  <c r="BL28" i="3" s="1"/>
  <c r="BH186" i="3"/>
  <c r="BL186" i="3" s="1"/>
  <c r="BH84" i="3"/>
  <c r="BL84" i="3" s="1"/>
  <c r="BH154" i="3"/>
  <c r="BL154" i="3" s="1"/>
  <c r="BL27" i="3"/>
  <c r="BN27" i="3" s="1"/>
  <c r="BK97" i="3"/>
  <c r="BN97" i="3" s="1"/>
  <c r="BK41" i="3"/>
  <c r="BL135" i="3"/>
  <c r="BD138" i="3"/>
  <c r="BH138" i="3" s="1"/>
  <c r="BL138" i="3" s="1"/>
  <c r="BC193" i="3"/>
  <c r="BG193" i="3" s="1"/>
  <c r="BK193" i="3" s="1"/>
  <c r="BH180" i="3"/>
  <c r="BL180" i="3" s="1"/>
  <c r="BC59" i="3"/>
  <c r="BG59" i="3" s="1"/>
  <c r="BK59" i="3" s="1"/>
  <c r="AK17" i="3"/>
  <c r="AM17" i="3" s="1"/>
  <c r="AN17" i="3" s="1"/>
  <c r="BG28" i="3"/>
  <c r="BK28" i="3" s="1"/>
  <c r="N10" i="5"/>
  <c r="V10" i="5" s="1"/>
  <c r="BH196" i="3"/>
  <c r="BL196" i="3" s="1"/>
  <c r="BH57" i="3"/>
  <c r="BL57" i="3" s="1"/>
  <c r="BL41" i="3"/>
  <c r="BH94" i="3"/>
  <c r="BL94" i="3" s="1"/>
  <c r="BN94" i="3" s="1"/>
  <c r="BH43" i="3"/>
  <c r="BL43" i="3" s="1"/>
  <c r="BC168" i="3"/>
  <c r="BG168" i="3" s="1"/>
  <c r="BK168" i="3" s="1"/>
  <c r="BN168" i="3" s="1"/>
  <c r="BC163" i="3"/>
  <c r="BG163" i="3" s="1"/>
  <c r="BK163" i="3" s="1"/>
  <c r="BN163" i="3" s="1"/>
  <c r="BG196" i="3"/>
  <c r="BK196" i="3" s="1"/>
  <c r="BD40" i="3"/>
  <c r="BH40" i="3" s="1"/>
  <c r="BL40" i="3" s="1"/>
  <c r="BN40" i="3" s="1"/>
  <c r="BD36" i="3"/>
  <c r="BH36" i="3" s="1"/>
  <c r="BL36" i="3" s="1"/>
  <c r="BC158" i="3"/>
  <c r="BG158" i="3" s="1"/>
  <c r="BK158" i="3" s="1"/>
  <c r="BG57" i="3"/>
  <c r="BK57" i="3" s="1"/>
  <c r="BL118" i="3"/>
  <c r="BH175" i="3"/>
  <c r="BL175" i="3" s="1"/>
  <c r="BG159" i="3"/>
  <c r="BK159" i="3" s="1"/>
  <c r="BL198" i="3"/>
  <c r="BK173" i="3"/>
  <c r="T5" i="5"/>
  <c r="U5" i="5" s="1"/>
  <c r="Z5" i="5" s="1"/>
  <c r="AM9" i="3"/>
  <c r="AN9" i="3" s="1"/>
  <c r="AZ12" i="3"/>
  <c r="BA12" i="3" s="1"/>
  <c r="AP12" i="3"/>
  <c r="AO12" i="3"/>
  <c r="AQ12" i="3"/>
  <c r="AR12" i="3" s="1"/>
  <c r="AX12" i="3" s="1"/>
  <c r="BU12" i="3" s="1"/>
  <c r="AZ15" i="3"/>
  <c r="BA15" i="3" s="1"/>
  <c r="AP15" i="3"/>
  <c r="AQ15" i="3"/>
  <c r="AR15" i="3" s="1"/>
  <c r="AX15" i="3" s="1"/>
  <c r="BU15" i="3" s="1"/>
  <c r="AO15" i="3"/>
  <c r="BD114" i="3"/>
  <c r="BH114" i="3" s="1"/>
  <c r="BL114" i="3" s="1"/>
  <c r="BC114" i="3"/>
  <c r="BG114" i="3" s="1"/>
  <c r="BK114" i="3" s="1"/>
  <c r="BD122" i="3"/>
  <c r="BH122" i="3" s="1"/>
  <c r="BL122" i="3" s="1"/>
  <c r="BC122" i="3"/>
  <c r="BG122" i="3" s="1"/>
  <c r="BK122" i="3" s="1"/>
  <c r="AK16" i="3"/>
  <c r="AM16" i="3" s="1"/>
  <c r="AN16" i="3" s="1"/>
  <c r="AP9" i="3"/>
  <c r="AQ9" i="3"/>
  <c r="AR9" i="3" s="1"/>
  <c r="AX9" i="3" s="1"/>
  <c r="BU9" i="3" s="1"/>
  <c r="AO9" i="3"/>
  <c r="AZ9" i="3"/>
  <c r="BA9" i="3" s="1"/>
  <c r="BR9" i="3" s="1"/>
  <c r="BS9" i="3" s="1"/>
  <c r="BC129" i="3"/>
  <c r="BG129" i="3" s="1"/>
  <c r="BK129" i="3" s="1"/>
  <c r="BD129" i="3"/>
  <c r="BH129" i="3" s="1"/>
  <c r="BL129" i="3" s="1"/>
  <c r="BC37" i="3"/>
  <c r="BG37" i="3" s="1"/>
  <c r="BK37" i="3" s="1"/>
  <c r="BD37" i="3"/>
  <c r="BH37" i="3" s="1"/>
  <c r="BL37" i="3" s="1"/>
  <c r="BC85" i="3"/>
  <c r="BG85" i="3" s="1"/>
  <c r="BK85" i="3" s="1"/>
  <c r="BD85" i="3"/>
  <c r="BH85" i="3" s="1"/>
  <c r="BL85" i="3" s="1"/>
  <c r="BD99" i="3"/>
  <c r="BH99" i="3" s="1"/>
  <c r="BL99" i="3" s="1"/>
  <c r="BC99" i="3"/>
  <c r="BG99" i="3" s="1"/>
  <c r="BK99" i="3" s="1"/>
  <c r="BC188" i="3"/>
  <c r="BG188" i="3" s="1"/>
  <c r="BK188" i="3" s="1"/>
  <c r="BD188" i="3"/>
  <c r="BH188" i="3" s="1"/>
  <c r="BL188" i="3" s="1"/>
  <c r="BD35" i="3"/>
  <c r="BH35" i="3" s="1"/>
  <c r="BL35" i="3" s="1"/>
  <c r="BC35" i="3"/>
  <c r="BG35" i="3" s="1"/>
  <c r="BK35" i="3" s="1"/>
  <c r="BC19" i="3"/>
  <c r="BG19" i="3" s="1"/>
  <c r="BK19" i="3" s="1"/>
  <c r="BD19" i="3"/>
  <c r="BH19" i="3" s="1"/>
  <c r="BL19" i="3" s="1"/>
  <c r="BC139" i="3"/>
  <c r="BG139" i="3" s="1"/>
  <c r="BK139" i="3" s="1"/>
  <c r="BD139" i="3"/>
  <c r="BH139" i="3" s="1"/>
  <c r="BL139" i="3" s="1"/>
  <c r="BC69" i="3"/>
  <c r="BG69" i="3" s="1"/>
  <c r="BK69" i="3" s="1"/>
  <c r="BD69" i="3"/>
  <c r="BH69" i="3" s="1"/>
  <c r="BL69" i="3" s="1"/>
  <c r="BD67" i="3"/>
  <c r="BH67" i="3" s="1"/>
  <c r="BL67" i="3" s="1"/>
  <c r="BC67" i="3"/>
  <c r="BG67" i="3" s="1"/>
  <c r="BK67" i="3" s="1"/>
  <c r="BC103" i="3"/>
  <c r="BG103" i="3" s="1"/>
  <c r="BK103" i="3" s="1"/>
  <c r="BD103" i="3"/>
  <c r="BH103" i="3" s="1"/>
  <c r="BL103" i="3" s="1"/>
  <c r="BC123" i="3"/>
  <c r="BG123" i="3" s="1"/>
  <c r="BK123" i="3" s="1"/>
  <c r="BD123" i="3"/>
  <c r="BH123" i="3" s="1"/>
  <c r="BL123" i="3" s="1"/>
  <c r="BC151" i="3"/>
  <c r="BG151" i="3" s="1"/>
  <c r="BK151" i="3" s="1"/>
  <c r="BD151" i="3"/>
  <c r="BH151" i="3" s="1"/>
  <c r="BL151" i="3" s="1"/>
  <c r="BC95" i="3"/>
  <c r="BG95" i="3" s="1"/>
  <c r="BK95" i="3" s="1"/>
  <c r="BD95" i="3"/>
  <c r="BH95" i="3" s="1"/>
  <c r="BL95" i="3" s="1"/>
  <c r="BC143" i="3"/>
  <c r="BG143" i="3" s="1"/>
  <c r="BK143" i="3" s="1"/>
  <c r="BD143" i="3"/>
  <c r="BH143" i="3" s="1"/>
  <c r="BL143" i="3" s="1"/>
  <c r="BD96" i="3"/>
  <c r="BH96" i="3" s="1"/>
  <c r="BL96" i="3" s="1"/>
  <c r="BC96" i="3"/>
  <c r="BG96" i="3" s="1"/>
  <c r="BK96" i="3" s="1"/>
  <c r="BD152" i="3"/>
  <c r="BH152" i="3" s="1"/>
  <c r="BL152" i="3" s="1"/>
  <c r="BC152" i="3"/>
  <c r="BG152" i="3" s="1"/>
  <c r="BK152" i="3" s="1"/>
  <c r="BC93" i="3"/>
  <c r="BG93" i="3" s="1"/>
  <c r="BK93" i="3" s="1"/>
  <c r="BD93" i="3"/>
  <c r="BH93" i="3" s="1"/>
  <c r="BL93" i="3" s="1"/>
  <c r="BC120" i="3"/>
  <c r="BG120" i="3" s="1"/>
  <c r="BK120" i="3" s="1"/>
  <c r="BD120" i="3"/>
  <c r="BH120" i="3" s="1"/>
  <c r="BL120" i="3" s="1"/>
  <c r="BD79" i="3"/>
  <c r="BH79" i="3" s="1"/>
  <c r="BL79" i="3" s="1"/>
  <c r="BC79" i="3"/>
  <c r="BG79" i="3" s="1"/>
  <c r="BK79" i="3" s="1"/>
  <c r="BG180" i="3"/>
  <c r="BK180" i="3" s="1"/>
  <c r="BN180" i="3" s="1"/>
  <c r="BC13" i="3"/>
  <c r="BG13" i="3" s="1"/>
  <c r="BK13" i="3" s="1"/>
  <c r="BD13" i="3"/>
  <c r="BH13" i="3" s="1"/>
  <c r="BL13" i="3" s="1"/>
  <c r="BD189" i="3"/>
  <c r="BH189" i="3" s="1"/>
  <c r="BL189" i="3" s="1"/>
  <c r="BC189" i="3"/>
  <c r="BG189" i="3" s="1"/>
  <c r="BK189" i="3" s="1"/>
  <c r="BD21" i="3"/>
  <c r="BH21" i="3" s="1"/>
  <c r="BL21" i="3" s="1"/>
  <c r="BC21" i="3"/>
  <c r="BG21" i="3" s="1"/>
  <c r="BK21" i="3" s="1"/>
  <c r="BC100" i="3"/>
  <c r="BG100" i="3" s="1"/>
  <c r="BK100" i="3" s="1"/>
  <c r="BD100" i="3"/>
  <c r="BH100" i="3" s="1"/>
  <c r="BL100" i="3" s="1"/>
  <c r="BL156" i="3"/>
  <c r="BD58" i="3"/>
  <c r="BH58" i="3" s="1"/>
  <c r="BL58" i="3" s="1"/>
  <c r="BC58" i="3"/>
  <c r="BG58" i="3" s="1"/>
  <c r="BK58" i="3" s="1"/>
  <c r="BK153" i="3"/>
  <c r="BN153" i="3" s="1"/>
  <c r="BG148" i="3"/>
  <c r="BK148" i="3" s="1"/>
  <c r="BC31" i="3"/>
  <c r="BG31" i="3" s="1"/>
  <c r="BK31" i="3" s="1"/>
  <c r="BD31" i="3"/>
  <c r="BH31" i="3" s="1"/>
  <c r="BL31" i="3" s="1"/>
  <c r="BD45" i="3"/>
  <c r="BH45" i="3" s="1"/>
  <c r="BL45" i="3" s="1"/>
  <c r="BC45" i="3"/>
  <c r="BG45" i="3" s="1"/>
  <c r="BK45" i="3" s="1"/>
  <c r="BD30" i="3"/>
  <c r="BH30" i="3" s="1"/>
  <c r="BL30" i="3" s="1"/>
  <c r="BC30" i="3"/>
  <c r="BG30" i="3" s="1"/>
  <c r="BK30" i="3" s="1"/>
  <c r="BN30" i="3" s="1"/>
  <c r="BD29" i="3"/>
  <c r="BH29" i="3" s="1"/>
  <c r="BL29" i="3" s="1"/>
  <c r="BC29" i="3"/>
  <c r="BG29" i="3" s="1"/>
  <c r="BK29" i="3" s="1"/>
  <c r="BC39" i="3"/>
  <c r="BG39" i="3" s="1"/>
  <c r="BK39" i="3" s="1"/>
  <c r="BD39" i="3"/>
  <c r="BH39" i="3" s="1"/>
  <c r="BL39" i="3" s="1"/>
  <c r="BD16" i="3"/>
  <c r="BH16" i="3" s="1"/>
  <c r="BL16" i="3" s="1"/>
  <c r="BC16" i="3"/>
  <c r="BG16" i="3" s="1"/>
  <c r="BK16" i="3" s="1"/>
  <c r="BD60" i="3"/>
  <c r="BH60" i="3" s="1"/>
  <c r="BL60" i="3" s="1"/>
  <c r="BC60" i="3"/>
  <c r="BG60" i="3" s="1"/>
  <c r="BK60" i="3" s="1"/>
  <c r="BN60" i="3" s="1"/>
  <c r="BC87" i="3"/>
  <c r="BG87" i="3" s="1"/>
  <c r="BK87" i="3" s="1"/>
  <c r="BD87" i="3"/>
  <c r="BH87" i="3" s="1"/>
  <c r="BL87" i="3" s="1"/>
  <c r="BC108" i="3"/>
  <c r="BG108" i="3" s="1"/>
  <c r="BK108" i="3" s="1"/>
  <c r="BD108" i="3"/>
  <c r="BH108" i="3" s="1"/>
  <c r="BL108" i="3" s="1"/>
  <c r="BC38" i="3"/>
  <c r="BG38" i="3" s="1"/>
  <c r="BK38" i="3" s="1"/>
  <c r="BD38" i="3"/>
  <c r="BH38" i="3" s="1"/>
  <c r="BL38" i="3" s="1"/>
  <c r="BC20" i="3"/>
  <c r="BG20" i="3" s="1"/>
  <c r="BK20" i="3" s="1"/>
  <c r="BD20" i="3"/>
  <c r="BH20" i="3" s="1"/>
  <c r="BL20" i="3" s="1"/>
  <c r="BC76" i="3"/>
  <c r="BG76" i="3" s="1"/>
  <c r="BK76" i="3" s="1"/>
  <c r="BD76" i="3"/>
  <c r="BH76" i="3" s="1"/>
  <c r="BL76" i="3" s="1"/>
  <c r="BC149" i="3"/>
  <c r="BG149" i="3" s="1"/>
  <c r="BK149" i="3" s="1"/>
  <c r="BD149" i="3"/>
  <c r="BH149" i="3" s="1"/>
  <c r="BL149" i="3" s="1"/>
  <c r="BC174" i="3"/>
  <c r="BG174" i="3" s="1"/>
  <c r="BK174" i="3" s="1"/>
  <c r="BD174" i="3"/>
  <c r="BH174" i="3" s="1"/>
  <c r="BL174" i="3" s="1"/>
  <c r="BD136" i="3"/>
  <c r="BH136" i="3" s="1"/>
  <c r="BL136" i="3" s="1"/>
  <c r="BC136" i="3"/>
  <c r="BG136" i="3" s="1"/>
  <c r="BK136" i="3" s="1"/>
  <c r="BN136" i="3" s="1"/>
  <c r="BC105" i="3"/>
  <c r="BG105" i="3" s="1"/>
  <c r="BK105" i="3" s="1"/>
  <c r="BD105" i="3"/>
  <c r="BH105" i="3" s="1"/>
  <c r="BL105" i="3" s="1"/>
  <c r="BD63" i="3"/>
  <c r="BH63" i="3" s="1"/>
  <c r="BL63" i="3" s="1"/>
  <c r="BC63" i="3"/>
  <c r="BG63" i="3" s="1"/>
  <c r="BK63" i="3" s="1"/>
  <c r="BN63" i="3" s="1"/>
  <c r="BD137" i="3"/>
  <c r="BH137" i="3" s="1"/>
  <c r="BL137" i="3" s="1"/>
  <c r="BC137" i="3"/>
  <c r="BG137" i="3" s="1"/>
  <c r="BK137" i="3" s="1"/>
  <c r="BD75" i="3"/>
  <c r="BH75" i="3" s="1"/>
  <c r="BL75" i="3" s="1"/>
  <c r="BC75" i="3"/>
  <c r="BG75" i="3" s="1"/>
  <c r="BK75" i="3" s="1"/>
  <c r="BN75" i="3" s="1"/>
  <c r="BD68" i="3"/>
  <c r="BH68" i="3" s="1"/>
  <c r="BL68" i="3" s="1"/>
  <c r="BC68" i="3"/>
  <c r="BG68" i="3" s="1"/>
  <c r="BK68" i="3" s="1"/>
  <c r="BC70" i="3"/>
  <c r="BG70" i="3" s="1"/>
  <c r="BK70" i="3" s="1"/>
  <c r="BD70" i="3"/>
  <c r="BH70" i="3" s="1"/>
  <c r="BL70" i="3" s="1"/>
  <c r="BC125" i="3"/>
  <c r="BG125" i="3" s="1"/>
  <c r="BK125" i="3" s="1"/>
  <c r="BD125" i="3"/>
  <c r="BH125" i="3" s="1"/>
  <c r="BL125" i="3" s="1"/>
  <c r="BC78" i="3"/>
  <c r="BG78" i="3" s="1"/>
  <c r="BK78" i="3" s="1"/>
  <c r="BD78" i="3"/>
  <c r="BH78" i="3" s="1"/>
  <c r="BL78" i="3" s="1"/>
  <c r="BC144" i="3"/>
  <c r="BG144" i="3" s="1"/>
  <c r="BK144" i="3" s="1"/>
  <c r="BD144" i="3"/>
  <c r="BH144" i="3" s="1"/>
  <c r="BL144" i="3" s="1"/>
  <c r="BC90" i="3"/>
  <c r="BG90" i="3" s="1"/>
  <c r="BK90" i="3" s="1"/>
  <c r="BD90" i="3"/>
  <c r="BH90" i="3" s="1"/>
  <c r="BL90" i="3" s="1"/>
  <c r="BD32" i="3"/>
  <c r="BH32" i="3" s="1"/>
  <c r="BL32" i="3" s="1"/>
  <c r="BC32" i="3"/>
  <c r="BG32" i="3" s="1"/>
  <c r="BK32" i="3" s="1"/>
  <c r="BC110" i="3"/>
  <c r="BG110" i="3" s="1"/>
  <c r="BK110" i="3" s="1"/>
  <c r="BD110" i="3"/>
  <c r="BH110" i="3" s="1"/>
  <c r="BL110" i="3" s="1"/>
  <c r="BD42" i="3"/>
  <c r="BH42" i="3" s="1"/>
  <c r="BL42" i="3" s="1"/>
  <c r="BC42" i="3"/>
  <c r="BG42" i="3" s="1"/>
  <c r="BK42" i="3" s="1"/>
  <c r="BN42" i="3" s="1"/>
  <c r="BH65" i="3"/>
  <c r="BL65" i="3" s="1"/>
  <c r="BD147" i="3"/>
  <c r="BH147" i="3" s="1"/>
  <c r="BL147" i="3" s="1"/>
  <c r="BC147" i="3"/>
  <c r="BG147" i="3" s="1"/>
  <c r="BK147" i="3" s="1"/>
  <c r="BN147" i="3" s="1"/>
  <c r="BC202" i="3"/>
  <c r="BG202" i="3" s="1"/>
  <c r="BK202" i="3" s="1"/>
  <c r="BD202" i="3"/>
  <c r="BH202" i="3" s="1"/>
  <c r="BL202" i="3" s="1"/>
  <c r="BC9" i="3"/>
  <c r="BG9" i="3" s="1"/>
  <c r="BK9" i="3" s="1"/>
  <c r="BD9" i="3"/>
  <c r="BH9" i="3" s="1"/>
  <c r="BL9" i="3" s="1"/>
  <c r="BD176" i="3"/>
  <c r="BH176" i="3" s="1"/>
  <c r="BL176" i="3" s="1"/>
  <c r="BC176" i="3"/>
  <c r="BG176" i="3" s="1"/>
  <c r="BK176" i="3" s="1"/>
  <c r="BN176" i="3" s="1"/>
  <c r="BC185" i="3"/>
  <c r="BG185" i="3" s="1"/>
  <c r="BK185" i="3" s="1"/>
  <c r="BD185" i="3"/>
  <c r="BH185" i="3" s="1"/>
  <c r="BL185" i="3" s="1"/>
  <c r="BN185" i="3" s="1"/>
  <c r="BC162" i="3"/>
  <c r="BG162" i="3" s="1"/>
  <c r="BK162" i="3" s="1"/>
  <c r="BD162" i="3"/>
  <c r="BH162" i="3" s="1"/>
  <c r="BL162" i="3" s="1"/>
  <c r="BC155" i="3"/>
  <c r="BG155" i="3" s="1"/>
  <c r="BK155" i="3" s="1"/>
  <c r="BD155" i="3"/>
  <c r="BH155" i="3" s="1"/>
  <c r="BL155" i="3" s="1"/>
  <c r="BD7" i="3"/>
  <c r="BH7" i="3" s="1"/>
  <c r="BL7" i="3" s="1"/>
  <c r="BC7" i="3"/>
  <c r="BG7" i="3" s="1"/>
  <c r="BK7" i="3" s="1"/>
  <c r="BD131" i="3"/>
  <c r="BH131" i="3" s="1"/>
  <c r="BL131" i="3" s="1"/>
  <c r="BC131" i="3"/>
  <c r="BG131" i="3" s="1"/>
  <c r="BK131" i="3" s="1"/>
  <c r="BN131" i="3" s="1"/>
  <c r="BD34" i="3"/>
  <c r="BH34" i="3" s="1"/>
  <c r="BL34" i="3" s="1"/>
  <c r="BC34" i="3"/>
  <c r="BG34" i="3" s="1"/>
  <c r="BK34" i="3" s="1"/>
  <c r="AP14" i="3"/>
  <c r="AO14" i="3"/>
  <c r="AZ14" i="3"/>
  <c r="BA14" i="3" s="1"/>
  <c r="AQ14" i="3"/>
  <c r="AR14" i="3" s="1"/>
  <c r="AX14" i="3" s="1"/>
  <c r="BU14" i="3" s="1"/>
  <c r="BH148" i="3"/>
  <c r="BL148" i="3" s="1"/>
  <c r="BG82" i="3"/>
  <c r="BK82" i="3" s="1"/>
  <c r="BD62" i="3"/>
  <c r="BH62" i="3" s="1"/>
  <c r="BL62" i="3" s="1"/>
  <c r="BC62" i="3"/>
  <c r="BG62" i="3" s="1"/>
  <c r="BK62" i="3" s="1"/>
  <c r="AM10" i="3"/>
  <c r="AN10" i="3" s="1"/>
  <c r="BD48" i="3"/>
  <c r="BH48" i="3" s="1"/>
  <c r="BL48" i="3" s="1"/>
  <c r="BC48" i="3"/>
  <c r="BG48" i="3" s="1"/>
  <c r="BK48" i="3" s="1"/>
  <c r="BN48" i="3" s="1"/>
  <c r="BC184" i="3"/>
  <c r="BG184" i="3" s="1"/>
  <c r="BK184" i="3" s="1"/>
  <c r="BD184" i="3"/>
  <c r="BH184" i="3" s="1"/>
  <c r="BL184" i="3" s="1"/>
  <c r="BC92" i="3"/>
  <c r="BG92" i="3" s="1"/>
  <c r="BK92" i="3" s="1"/>
  <c r="BD92" i="3"/>
  <c r="BH92" i="3" s="1"/>
  <c r="BL92" i="3" s="1"/>
  <c r="BC25" i="3"/>
  <c r="BG25" i="3" s="1"/>
  <c r="BK25" i="3" s="1"/>
  <c r="BD25" i="3"/>
  <c r="BH25" i="3" s="1"/>
  <c r="BL25" i="3" s="1"/>
  <c r="BD18" i="3"/>
  <c r="BH18" i="3" s="1"/>
  <c r="BL18" i="3" s="1"/>
  <c r="BC18" i="3"/>
  <c r="BG18" i="3" s="1"/>
  <c r="BK18" i="3" s="1"/>
  <c r="BD23" i="3"/>
  <c r="BH23" i="3" s="1"/>
  <c r="BL23" i="3" s="1"/>
  <c r="BC23" i="3"/>
  <c r="BG23" i="3" s="1"/>
  <c r="BK23" i="3" s="1"/>
  <c r="BN23" i="3" s="1"/>
  <c r="BC127" i="3"/>
  <c r="BG127" i="3" s="1"/>
  <c r="BK127" i="3" s="1"/>
  <c r="BD127" i="3"/>
  <c r="BH127" i="3" s="1"/>
  <c r="BL127" i="3" s="1"/>
  <c r="BD145" i="3"/>
  <c r="BH145" i="3" s="1"/>
  <c r="BL145" i="3" s="1"/>
  <c r="BC145" i="3"/>
  <c r="BG145" i="3" s="1"/>
  <c r="BK145" i="3" s="1"/>
  <c r="BN145" i="3" s="1"/>
  <c r="BD55" i="3"/>
  <c r="BH55" i="3" s="1"/>
  <c r="BL55" i="3" s="1"/>
  <c r="BC55" i="3"/>
  <c r="BG55" i="3" s="1"/>
  <c r="BK55" i="3" s="1"/>
  <c r="BC77" i="3"/>
  <c r="BG77" i="3" s="1"/>
  <c r="BK77" i="3" s="1"/>
  <c r="BD77" i="3"/>
  <c r="BH77" i="3" s="1"/>
  <c r="BL77" i="3" s="1"/>
  <c r="BD52" i="3"/>
  <c r="BH52" i="3" s="1"/>
  <c r="BL52" i="3" s="1"/>
  <c r="BC52" i="3"/>
  <c r="BG52" i="3" s="1"/>
  <c r="BK52" i="3" s="1"/>
  <c r="BD22" i="3"/>
  <c r="BH22" i="3" s="1"/>
  <c r="BL22" i="3" s="1"/>
  <c r="BC22" i="3"/>
  <c r="BG22" i="3" s="1"/>
  <c r="BK22" i="3" s="1"/>
  <c r="BD11" i="3"/>
  <c r="BH11" i="3" s="1"/>
  <c r="BL11" i="3" s="1"/>
  <c r="BC11" i="3"/>
  <c r="BG11" i="3" s="1"/>
  <c r="BK11" i="3" s="1"/>
  <c r="BC121" i="3"/>
  <c r="BG121" i="3" s="1"/>
  <c r="BK121" i="3" s="1"/>
  <c r="BD121" i="3"/>
  <c r="BH121" i="3" s="1"/>
  <c r="BL121" i="3" s="1"/>
  <c r="BC53" i="3"/>
  <c r="BG53" i="3" s="1"/>
  <c r="BK53" i="3" s="1"/>
  <c r="BD53" i="3"/>
  <c r="BH53" i="3" s="1"/>
  <c r="BL53" i="3" s="1"/>
  <c r="BG111" i="3"/>
  <c r="BK111" i="3" s="1"/>
  <c r="BC50" i="3"/>
  <c r="BG50" i="3" s="1"/>
  <c r="BK50" i="3" s="1"/>
  <c r="BD50" i="3"/>
  <c r="BH50" i="3" s="1"/>
  <c r="BL50" i="3" s="1"/>
  <c r="BC115" i="3"/>
  <c r="BG115" i="3" s="1"/>
  <c r="BK115" i="3" s="1"/>
  <c r="BD115" i="3"/>
  <c r="BH115" i="3" s="1"/>
  <c r="BL115" i="3" s="1"/>
  <c r="BC119" i="3"/>
  <c r="BG119" i="3" s="1"/>
  <c r="BK119" i="3" s="1"/>
  <c r="BD119" i="3"/>
  <c r="BH119" i="3" s="1"/>
  <c r="BL119" i="3" s="1"/>
  <c r="BC66" i="3"/>
  <c r="BG66" i="3" s="1"/>
  <c r="BK66" i="3" s="1"/>
  <c r="BD66" i="3"/>
  <c r="BH66" i="3" s="1"/>
  <c r="BL66" i="3" s="1"/>
  <c r="BC140" i="3"/>
  <c r="BG140" i="3" s="1"/>
  <c r="BK140" i="3" s="1"/>
  <c r="BD140" i="3"/>
  <c r="BH140" i="3" s="1"/>
  <c r="BL140" i="3" s="1"/>
  <c r="BD80" i="3"/>
  <c r="BH80" i="3" s="1"/>
  <c r="BL80" i="3" s="1"/>
  <c r="BC80" i="3"/>
  <c r="BG80" i="3" s="1"/>
  <c r="BK80" i="3" s="1"/>
  <c r="BC150" i="3"/>
  <c r="BG150" i="3" s="1"/>
  <c r="BK150" i="3" s="1"/>
  <c r="BD150" i="3"/>
  <c r="BH150" i="3" s="1"/>
  <c r="BL150" i="3" s="1"/>
  <c r="BD106" i="3"/>
  <c r="BH106" i="3" s="1"/>
  <c r="BL106" i="3" s="1"/>
  <c r="BC106" i="3"/>
  <c r="BG106" i="3" s="1"/>
  <c r="BK106" i="3" s="1"/>
  <c r="BD191" i="3"/>
  <c r="BH191" i="3" s="1"/>
  <c r="BL191" i="3" s="1"/>
  <c r="BC191" i="3"/>
  <c r="BG191" i="3" s="1"/>
  <c r="BK191" i="3" s="1"/>
  <c r="BD194" i="3"/>
  <c r="BH194" i="3" s="1"/>
  <c r="BL194" i="3" s="1"/>
  <c r="BC194" i="3"/>
  <c r="BG194" i="3" s="1"/>
  <c r="BK194" i="3" s="1"/>
  <c r="BD160" i="3"/>
  <c r="BH160" i="3" s="1"/>
  <c r="BL160" i="3" s="1"/>
  <c r="BC160" i="3"/>
  <c r="BG160" i="3" s="1"/>
  <c r="BK160" i="3" s="1"/>
  <c r="BD124" i="3"/>
  <c r="BH124" i="3" s="1"/>
  <c r="BL124" i="3" s="1"/>
  <c r="BC124" i="3"/>
  <c r="BG124" i="3" s="1"/>
  <c r="BK124" i="3" s="1"/>
  <c r="BC89" i="3"/>
  <c r="BG89" i="3" s="1"/>
  <c r="BK89" i="3" s="1"/>
  <c r="BD89" i="3"/>
  <c r="BH89" i="3" s="1"/>
  <c r="BL89" i="3" s="1"/>
  <c r="BD161" i="3"/>
  <c r="BH161" i="3" s="1"/>
  <c r="BL161" i="3" s="1"/>
  <c r="BC161" i="3"/>
  <c r="BG161" i="3" s="1"/>
  <c r="BK161" i="3" s="1"/>
  <c r="BH113" i="3"/>
  <c r="BL113" i="3" s="1"/>
  <c r="BD8" i="3"/>
  <c r="BH8" i="3" s="1"/>
  <c r="BL8" i="3" s="1"/>
  <c r="BC8" i="3"/>
  <c r="BG8" i="3" s="1"/>
  <c r="BK8" i="3" s="1"/>
  <c r="AZ16" i="3"/>
  <c r="BA16" i="3" s="1"/>
  <c r="AQ16" i="3"/>
  <c r="AR16" i="3" s="1"/>
  <c r="AX16" i="3" s="1"/>
  <c r="BU16" i="3" s="1"/>
  <c r="AO16" i="3"/>
  <c r="AP16" i="3"/>
  <c r="BH82" i="3"/>
  <c r="BL82" i="3" s="1"/>
  <c r="BD109" i="3"/>
  <c r="BH109" i="3" s="1"/>
  <c r="BL109" i="3" s="1"/>
  <c r="BC109" i="3"/>
  <c r="BG109" i="3" s="1"/>
  <c r="BK109" i="3" s="1"/>
  <c r="BD15" i="3"/>
  <c r="BH15" i="3" s="1"/>
  <c r="BL15" i="3" s="1"/>
  <c r="BC15" i="3"/>
  <c r="BG15" i="3" s="1"/>
  <c r="BK15" i="3" s="1"/>
  <c r="BD61" i="3"/>
  <c r="BH61" i="3" s="1"/>
  <c r="BL61" i="3" s="1"/>
  <c r="BC61" i="3"/>
  <c r="BG61" i="3" s="1"/>
  <c r="BK61" i="3" s="1"/>
  <c r="BC142" i="3"/>
  <c r="BG142" i="3" s="1"/>
  <c r="BK142" i="3" s="1"/>
  <c r="BD142" i="3"/>
  <c r="BH142" i="3" s="1"/>
  <c r="BL142" i="3" s="1"/>
  <c r="BC12" i="3"/>
  <c r="BG12" i="3" s="1"/>
  <c r="BK12" i="3" s="1"/>
  <c r="BD12" i="3"/>
  <c r="BH12" i="3" s="1"/>
  <c r="BL12" i="3" s="1"/>
  <c r="BC172" i="3"/>
  <c r="BG172" i="3" s="1"/>
  <c r="BK172" i="3" s="1"/>
  <c r="BD172" i="3"/>
  <c r="BH172" i="3" s="1"/>
  <c r="BL172" i="3" s="1"/>
  <c r="BC56" i="3"/>
  <c r="BG56" i="3" s="1"/>
  <c r="BK56" i="3" s="1"/>
  <c r="BD56" i="3"/>
  <c r="BH56" i="3" s="1"/>
  <c r="BL56" i="3" s="1"/>
  <c r="BC26" i="3"/>
  <c r="BG26" i="3" s="1"/>
  <c r="BK26" i="3" s="1"/>
  <c r="BD26" i="3"/>
  <c r="BH26" i="3" s="1"/>
  <c r="BL26" i="3" s="1"/>
  <c r="BC112" i="3"/>
  <c r="BG112" i="3" s="1"/>
  <c r="BK112" i="3" s="1"/>
  <c r="BD112" i="3"/>
  <c r="BH112" i="3" s="1"/>
  <c r="BL112" i="3" s="1"/>
  <c r="BD128" i="3"/>
  <c r="BH128" i="3" s="1"/>
  <c r="BL128" i="3" s="1"/>
  <c r="BC128" i="3"/>
  <c r="BG128" i="3" s="1"/>
  <c r="BK128" i="3" s="1"/>
  <c r="BD24" i="3"/>
  <c r="BH24" i="3" s="1"/>
  <c r="BL24" i="3" s="1"/>
  <c r="BC24" i="3"/>
  <c r="BG24" i="3" s="1"/>
  <c r="BK24" i="3" s="1"/>
  <c r="BD181" i="3"/>
  <c r="BH181" i="3" s="1"/>
  <c r="BL181" i="3" s="1"/>
  <c r="BC181" i="3"/>
  <c r="BG181" i="3" s="1"/>
  <c r="BK181" i="3" s="1"/>
  <c r="BD33" i="3"/>
  <c r="BH33" i="3" s="1"/>
  <c r="BL33" i="3" s="1"/>
  <c r="BC33" i="3"/>
  <c r="BG33" i="3" s="1"/>
  <c r="BK33" i="3" s="1"/>
  <c r="BD73" i="3"/>
  <c r="BH73" i="3" s="1"/>
  <c r="BL73" i="3" s="1"/>
  <c r="BC73" i="3"/>
  <c r="BG73" i="3" s="1"/>
  <c r="BK73" i="3" s="1"/>
  <c r="BD117" i="3"/>
  <c r="BH117" i="3" s="1"/>
  <c r="BL117" i="3" s="1"/>
  <c r="BC117" i="3"/>
  <c r="BG117" i="3" s="1"/>
  <c r="BK117" i="3" s="1"/>
  <c r="BC102" i="3"/>
  <c r="BG102" i="3" s="1"/>
  <c r="BK102" i="3" s="1"/>
  <c r="BD102" i="3"/>
  <c r="BH102" i="3" s="1"/>
  <c r="BL102" i="3" s="1"/>
  <c r="BC157" i="3"/>
  <c r="BG157" i="3" s="1"/>
  <c r="BK157" i="3" s="1"/>
  <c r="BD157" i="3"/>
  <c r="BH157" i="3" s="1"/>
  <c r="BL157" i="3" s="1"/>
  <c r="BD72" i="3"/>
  <c r="BH72" i="3" s="1"/>
  <c r="BL72" i="3" s="1"/>
  <c r="BC72" i="3"/>
  <c r="BG72" i="3" s="1"/>
  <c r="BK72" i="3" s="1"/>
  <c r="BK36" i="3"/>
  <c r="BD107" i="3"/>
  <c r="BH107" i="3" s="1"/>
  <c r="BL107" i="3" s="1"/>
  <c r="BC107" i="3"/>
  <c r="BG107" i="3" s="1"/>
  <c r="BK107" i="3" s="1"/>
  <c r="BD177" i="3"/>
  <c r="BH177" i="3" s="1"/>
  <c r="BL177" i="3" s="1"/>
  <c r="BC177" i="3"/>
  <c r="BG177" i="3" s="1"/>
  <c r="BK177" i="3" s="1"/>
  <c r="BN177" i="3" s="1"/>
  <c r="BD146" i="3"/>
  <c r="BH146" i="3" s="1"/>
  <c r="BL146" i="3" s="1"/>
  <c r="BC146" i="3"/>
  <c r="BG146" i="3" s="1"/>
  <c r="BK146" i="3" s="1"/>
  <c r="BC104" i="3"/>
  <c r="BG104" i="3" s="1"/>
  <c r="BK104" i="3" s="1"/>
  <c r="BD104" i="3"/>
  <c r="BH104" i="3" s="1"/>
  <c r="BL104" i="3" s="1"/>
  <c r="BN104" i="3" s="1"/>
  <c r="BC51" i="3"/>
  <c r="BG51" i="3" s="1"/>
  <c r="BK51" i="3" s="1"/>
  <c r="BN51" i="3" s="1"/>
  <c r="BD51" i="3"/>
  <c r="BH51" i="3" s="1"/>
  <c r="BL51" i="3" s="1"/>
  <c r="BC101" i="3"/>
  <c r="BG101" i="3" s="1"/>
  <c r="BK101" i="3" s="1"/>
  <c r="BD101" i="3"/>
  <c r="BH101" i="3" s="1"/>
  <c r="BL101" i="3" s="1"/>
  <c r="BD132" i="3"/>
  <c r="BH132" i="3" s="1"/>
  <c r="BL132" i="3" s="1"/>
  <c r="BC132" i="3"/>
  <c r="BG132" i="3" s="1"/>
  <c r="BK132" i="3" s="1"/>
  <c r="BC88" i="3"/>
  <c r="BG88" i="3" s="1"/>
  <c r="BK88" i="3" s="1"/>
  <c r="BD88" i="3"/>
  <c r="BH88" i="3" s="1"/>
  <c r="BL88" i="3" s="1"/>
  <c r="BD190" i="3"/>
  <c r="BH190" i="3" s="1"/>
  <c r="BL190" i="3" s="1"/>
  <c r="BC190" i="3"/>
  <c r="BG190" i="3" s="1"/>
  <c r="BK190" i="3" s="1"/>
  <c r="BD183" i="3"/>
  <c r="BH183" i="3" s="1"/>
  <c r="BL183" i="3" s="1"/>
  <c r="BC183" i="3"/>
  <c r="BG183" i="3" s="1"/>
  <c r="BK183" i="3" s="1"/>
  <c r="BN183" i="3" s="1"/>
  <c r="BD165" i="3"/>
  <c r="BH165" i="3" s="1"/>
  <c r="BL165" i="3" s="1"/>
  <c r="BC165" i="3"/>
  <c r="BG165" i="3" s="1"/>
  <c r="BK165" i="3" s="1"/>
  <c r="BC170" i="3"/>
  <c r="BG170" i="3" s="1"/>
  <c r="BK170" i="3" s="1"/>
  <c r="BD170" i="3"/>
  <c r="BH170" i="3" s="1"/>
  <c r="BL170" i="3" s="1"/>
  <c r="BD49" i="3"/>
  <c r="BH49" i="3" s="1"/>
  <c r="BL49" i="3" s="1"/>
  <c r="BC49" i="3"/>
  <c r="BG49" i="3" s="1"/>
  <c r="BK49" i="3" s="1"/>
  <c r="BC169" i="3"/>
  <c r="BG169" i="3" s="1"/>
  <c r="BK169" i="3" s="1"/>
  <c r="BD169" i="3"/>
  <c r="BH169" i="3" s="1"/>
  <c r="BL169" i="3" s="1"/>
  <c r="BN169" i="3" s="1"/>
  <c r="BD54" i="3"/>
  <c r="BH54" i="3" s="1"/>
  <c r="BL54" i="3" s="1"/>
  <c r="BC54" i="3"/>
  <c r="BG54" i="3" s="1"/>
  <c r="BK54" i="3" s="1"/>
  <c r="BD205" i="3"/>
  <c r="BH205" i="3" s="1"/>
  <c r="BL205" i="3" s="1"/>
  <c r="BC205" i="3"/>
  <c r="BG205" i="3" s="1"/>
  <c r="BK205" i="3" s="1"/>
  <c r="BN205" i="3" s="1"/>
  <c r="R8" i="5"/>
  <c r="T8" i="5" s="1"/>
  <c r="U8" i="5" s="1"/>
  <c r="Z8" i="5" s="1"/>
  <c r="R11" i="5"/>
  <c r="T11" i="5" s="1"/>
  <c r="U11" i="5" s="1"/>
  <c r="Z11" i="5" s="1"/>
  <c r="BH98" i="3"/>
  <c r="BL98" i="3" s="1"/>
  <c r="AM19" i="3"/>
  <c r="AN19" i="3" s="1"/>
  <c r="AZ18" i="3"/>
  <c r="BA18" i="3" s="1"/>
  <c r="BR18" i="3" s="1"/>
  <c r="BS18" i="3" s="1"/>
  <c r="AQ18" i="3"/>
  <c r="AR18" i="3" s="1"/>
  <c r="AX18" i="3" s="1"/>
  <c r="BU18" i="3" s="1"/>
  <c r="AP18" i="3"/>
  <c r="AO18" i="3"/>
  <c r="AM18" i="3"/>
  <c r="AN18" i="3" s="1"/>
  <c r="BR7" i="3"/>
  <c r="BS7" i="3" s="1"/>
  <c r="AM8" i="3"/>
  <c r="AN8" i="3" s="1"/>
  <c r="AN15" i="3"/>
  <c r="U4" i="5"/>
  <c r="Z4" i="5" s="1"/>
  <c r="BN115" i="3"/>
  <c r="AO10" i="3"/>
  <c r="AZ10" i="3"/>
  <c r="BA10" i="3" s="1"/>
  <c r="AP10" i="3"/>
  <c r="AQ10" i="3"/>
  <c r="AR10" i="3" s="1"/>
  <c r="AX10" i="3" s="1"/>
  <c r="BU10" i="3" s="1"/>
  <c r="BN126" i="3"/>
  <c r="BN187" i="3" l="1"/>
  <c r="BN96" i="3"/>
  <c r="BN99" i="3"/>
  <c r="AQ19" i="3"/>
  <c r="AR19" i="3" s="1"/>
  <c r="AX19" i="3" s="1"/>
  <c r="BU19" i="3" s="1"/>
  <c r="BU20" i="3" s="1"/>
  <c r="AZ17" i="3"/>
  <c r="BA17" i="3" s="1"/>
  <c r="BR17" i="3" s="1"/>
  <c r="BS17" i="3" s="1"/>
  <c r="BN157" i="3"/>
  <c r="BN12" i="3"/>
  <c r="BR12" i="3" s="1"/>
  <c r="BS12" i="3" s="1"/>
  <c r="BN144" i="3"/>
  <c r="BN76" i="3"/>
  <c r="AP19" i="3"/>
  <c r="BN64" i="3"/>
  <c r="AO17" i="3"/>
  <c r="BN25" i="3"/>
  <c r="BN143" i="3"/>
  <c r="AO19" i="3"/>
  <c r="BN57" i="3"/>
  <c r="BN154" i="3"/>
  <c r="AQ8" i="3"/>
  <c r="AR8" i="3" s="1"/>
  <c r="AX8" i="3" s="1"/>
  <c r="BU8" i="3" s="1"/>
  <c r="BN151" i="3"/>
  <c r="BN173" i="3"/>
  <c r="BN17" i="3"/>
  <c r="AP8" i="3"/>
  <c r="AZ8" i="3"/>
  <c r="BA8" i="3" s="1"/>
  <c r="BN178" i="3"/>
  <c r="BN204" i="3"/>
  <c r="BN201" i="3"/>
  <c r="BN113" i="3"/>
  <c r="BN62" i="3"/>
  <c r="BN202" i="3"/>
  <c r="BN135" i="3"/>
  <c r="BN43" i="3"/>
  <c r="BN171" i="3"/>
  <c r="AQ17" i="3"/>
  <c r="AR17" i="3" s="1"/>
  <c r="AX17" i="3" s="1"/>
  <c r="BU17" i="3" s="1"/>
  <c r="BN74" i="3"/>
  <c r="BN124" i="3"/>
  <c r="BN59" i="3"/>
  <c r="BN10" i="3"/>
  <c r="BN83" i="3"/>
  <c r="BN41" i="3"/>
  <c r="BN200" i="3"/>
  <c r="BN116" i="3"/>
  <c r="AQ20" i="3"/>
  <c r="AR20" i="3" s="1"/>
  <c r="AX20" i="3" s="1"/>
  <c r="BU21" i="3" s="1"/>
  <c r="BU22" i="3" s="1"/>
  <c r="BU23" i="3" s="1"/>
  <c r="BU24" i="3" s="1"/>
  <c r="BU25" i="3" s="1"/>
  <c r="BU26" i="3" s="1"/>
  <c r="BU27" i="3" s="1"/>
  <c r="BU28" i="3" s="1"/>
  <c r="BU29" i="3" s="1"/>
  <c r="BU30" i="3" s="1"/>
  <c r="BU31" i="3" s="1"/>
  <c r="BU32" i="3" s="1"/>
  <c r="BU33" i="3" s="1"/>
  <c r="BU34" i="3" s="1"/>
  <c r="BU35" i="3" s="1"/>
  <c r="BU36" i="3" s="1"/>
  <c r="BU37" i="3" s="1"/>
  <c r="BU38" i="3" s="1"/>
  <c r="BU39" i="3" s="1"/>
  <c r="BU40" i="3" s="1"/>
  <c r="BU41" i="3" s="1"/>
  <c r="BU42" i="3" s="1"/>
  <c r="BU43" i="3" s="1"/>
  <c r="BU44" i="3" s="1"/>
  <c r="BU45" i="3" s="1"/>
  <c r="BU46" i="3" s="1"/>
  <c r="BU47" i="3" s="1"/>
  <c r="BU48" i="3" s="1"/>
  <c r="BU49" i="3" s="1"/>
  <c r="BU50" i="3" s="1"/>
  <c r="BU51" i="3" s="1"/>
  <c r="BU52" i="3" s="1"/>
  <c r="BU53" i="3" s="1"/>
  <c r="BU54" i="3" s="1"/>
  <c r="BU55" i="3" s="1"/>
  <c r="BU56" i="3" s="1"/>
  <c r="BU57" i="3" s="1"/>
  <c r="BU58" i="3" s="1"/>
  <c r="BU59" i="3" s="1"/>
  <c r="BU60" i="3" s="1"/>
  <c r="BU61" i="3" s="1"/>
  <c r="BU62" i="3" s="1"/>
  <c r="BU63" i="3" s="1"/>
  <c r="BU64" i="3" s="1"/>
  <c r="BU65" i="3" s="1"/>
  <c r="BU66" i="3" s="1"/>
  <c r="BU67" i="3" s="1"/>
  <c r="BU68" i="3" s="1"/>
  <c r="BU69" i="3" s="1"/>
  <c r="BU70" i="3" s="1"/>
  <c r="BU71" i="3" s="1"/>
  <c r="BU72" i="3" s="1"/>
  <c r="BU73" i="3" s="1"/>
  <c r="BU74" i="3" s="1"/>
  <c r="BU75" i="3" s="1"/>
  <c r="BU76" i="3" s="1"/>
  <c r="BU77" i="3" s="1"/>
  <c r="BU78" i="3" s="1"/>
  <c r="BU79" i="3" s="1"/>
  <c r="BU80" i="3" s="1"/>
  <c r="BU81" i="3" s="1"/>
  <c r="BU82" i="3" s="1"/>
  <c r="BU83" i="3" s="1"/>
  <c r="BU84" i="3" s="1"/>
  <c r="BU85" i="3" s="1"/>
  <c r="BU86" i="3" s="1"/>
  <c r="BU87" i="3" s="1"/>
  <c r="BU88" i="3" s="1"/>
  <c r="BU89" i="3" s="1"/>
  <c r="BU90" i="3" s="1"/>
  <c r="BU91" i="3" s="1"/>
  <c r="BU92" i="3" s="1"/>
  <c r="BU93" i="3" s="1"/>
  <c r="BU94" i="3" s="1"/>
  <c r="BU95" i="3" s="1"/>
  <c r="BU96" i="3" s="1"/>
  <c r="BU97" i="3" s="1"/>
  <c r="BU98" i="3" s="1"/>
  <c r="BU99" i="3" s="1"/>
  <c r="BU100" i="3" s="1"/>
  <c r="BU101" i="3" s="1"/>
  <c r="BU102" i="3" s="1"/>
  <c r="BU103" i="3" s="1"/>
  <c r="BU104" i="3" s="1"/>
  <c r="BU105" i="3" s="1"/>
  <c r="BU106" i="3" s="1"/>
  <c r="BU107" i="3" s="1"/>
  <c r="BU108" i="3" s="1"/>
  <c r="BU109" i="3" s="1"/>
  <c r="BU110" i="3" s="1"/>
  <c r="BU111" i="3" s="1"/>
  <c r="BU112" i="3" s="1"/>
  <c r="BU113" i="3" s="1"/>
  <c r="BU114" i="3" s="1"/>
  <c r="BU115" i="3" s="1"/>
  <c r="BU116" i="3" s="1"/>
  <c r="BU117" i="3" s="1"/>
  <c r="BU118" i="3" s="1"/>
  <c r="BU119" i="3" s="1"/>
  <c r="BU120" i="3" s="1"/>
  <c r="BU121" i="3" s="1"/>
  <c r="BU122" i="3" s="1"/>
  <c r="BU123" i="3" s="1"/>
  <c r="BU124" i="3" s="1"/>
  <c r="BU125" i="3" s="1"/>
  <c r="BU126" i="3" s="1"/>
  <c r="BU127" i="3" s="1"/>
  <c r="BU128" i="3" s="1"/>
  <c r="BU129" i="3" s="1"/>
  <c r="BU130" i="3" s="1"/>
  <c r="BU131" i="3" s="1"/>
  <c r="BU132" i="3" s="1"/>
  <c r="BU133" i="3" s="1"/>
  <c r="BU134" i="3" s="1"/>
  <c r="BU135" i="3" s="1"/>
  <c r="BU136" i="3" s="1"/>
  <c r="BU137" i="3" s="1"/>
  <c r="BU138" i="3" s="1"/>
  <c r="BU139" i="3" s="1"/>
  <c r="BU140" i="3" s="1"/>
  <c r="BU141" i="3" s="1"/>
  <c r="BU142" i="3" s="1"/>
  <c r="BU143" i="3" s="1"/>
  <c r="BU144" i="3" s="1"/>
  <c r="BU145" i="3" s="1"/>
  <c r="BU146" i="3" s="1"/>
  <c r="BU147" i="3" s="1"/>
  <c r="BU148" i="3" s="1"/>
  <c r="BU149" i="3" s="1"/>
  <c r="BU150" i="3" s="1"/>
  <c r="BU151" i="3" s="1"/>
  <c r="BU152" i="3" s="1"/>
  <c r="BU153" i="3" s="1"/>
  <c r="BU154" i="3" s="1"/>
  <c r="BU155" i="3" s="1"/>
  <c r="BU156" i="3" s="1"/>
  <c r="BU157" i="3" s="1"/>
  <c r="BU158" i="3" s="1"/>
  <c r="BU159" i="3" s="1"/>
  <c r="BU160" i="3" s="1"/>
  <c r="BU161" i="3" s="1"/>
  <c r="BU162" i="3" s="1"/>
  <c r="BU163" i="3" s="1"/>
  <c r="BU164" i="3" s="1"/>
  <c r="BU165" i="3" s="1"/>
  <c r="BU166" i="3" s="1"/>
  <c r="BU167" i="3" s="1"/>
  <c r="BU168" i="3" s="1"/>
  <c r="BU169" i="3" s="1"/>
  <c r="BU170" i="3" s="1"/>
  <c r="BU171" i="3" s="1"/>
  <c r="BU172" i="3" s="1"/>
  <c r="BU173" i="3" s="1"/>
  <c r="BU174" i="3" s="1"/>
  <c r="BU175" i="3" s="1"/>
  <c r="BU176" i="3" s="1"/>
  <c r="BU177" i="3" s="1"/>
  <c r="BU178" i="3" s="1"/>
  <c r="BU179" i="3" s="1"/>
  <c r="BU180" i="3" s="1"/>
  <c r="BU181" i="3" s="1"/>
  <c r="BU182" i="3" s="1"/>
  <c r="BU183" i="3" s="1"/>
  <c r="BU184" i="3" s="1"/>
  <c r="BU185" i="3" s="1"/>
  <c r="BU186" i="3" s="1"/>
  <c r="BU187" i="3" s="1"/>
  <c r="BU188" i="3" s="1"/>
  <c r="BU189" i="3" s="1"/>
  <c r="BU190" i="3" s="1"/>
  <c r="BU191" i="3" s="1"/>
  <c r="BU192" i="3" s="1"/>
  <c r="BU193" i="3" s="1"/>
  <c r="BU194" i="3" s="1"/>
  <c r="BU195" i="3" s="1"/>
  <c r="BU196" i="3" s="1"/>
  <c r="BU197" i="3" s="1"/>
  <c r="BU198" i="3" s="1"/>
  <c r="BU199" i="3" s="1"/>
  <c r="BU200" i="3" s="1"/>
  <c r="BU201" i="3" s="1"/>
  <c r="BU202" i="3" s="1"/>
  <c r="BU203" i="3" s="1"/>
  <c r="BU204" i="3" s="1"/>
  <c r="BU205" i="3" s="1"/>
  <c r="BU206" i="3" s="1"/>
  <c r="BN87" i="3"/>
  <c r="AZ11" i="3"/>
  <c r="BA11" i="3" s="1"/>
  <c r="AQ11" i="3"/>
  <c r="AR11" i="3" s="1"/>
  <c r="AX11" i="3" s="1"/>
  <c r="BU11" i="3" s="1"/>
  <c r="AO11" i="3"/>
  <c r="BN29" i="3"/>
  <c r="BN159" i="3"/>
  <c r="BN36" i="3"/>
  <c r="BN105" i="3"/>
  <c r="BN199" i="3"/>
  <c r="BN125" i="3"/>
  <c r="BN109" i="3"/>
  <c r="BN38" i="3"/>
  <c r="BN71" i="3"/>
  <c r="BN33" i="3"/>
  <c r="BN95" i="3"/>
  <c r="BN56" i="3"/>
  <c r="BN35" i="3"/>
  <c r="BN182" i="3"/>
  <c r="AZ20" i="3"/>
  <c r="AZ21" i="3" s="1"/>
  <c r="AZ22" i="3" s="1"/>
  <c r="AZ23" i="3" s="1"/>
  <c r="AZ24" i="3" s="1"/>
  <c r="AZ25" i="3" s="1"/>
  <c r="AZ26" i="3" s="1"/>
  <c r="AZ27" i="3" s="1"/>
  <c r="AZ28" i="3" s="1"/>
  <c r="AZ29" i="3" s="1"/>
  <c r="AZ30" i="3" s="1"/>
  <c r="AZ31" i="3" s="1"/>
  <c r="AZ32" i="3" s="1"/>
  <c r="AZ33" i="3" s="1"/>
  <c r="AZ34" i="3" s="1"/>
  <c r="AZ35" i="3" s="1"/>
  <c r="AZ36" i="3" s="1"/>
  <c r="AZ37" i="3" s="1"/>
  <c r="AZ38" i="3" s="1"/>
  <c r="AZ39" i="3" s="1"/>
  <c r="AZ40" i="3" s="1"/>
  <c r="AZ41" i="3" s="1"/>
  <c r="AZ42" i="3" s="1"/>
  <c r="AZ43" i="3" s="1"/>
  <c r="AZ44" i="3" s="1"/>
  <c r="AZ45" i="3" s="1"/>
  <c r="AZ46" i="3" s="1"/>
  <c r="AZ47" i="3" s="1"/>
  <c r="AZ48" i="3" s="1"/>
  <c r="AZ49" i="3" s="1"/>
  <c r="AZ50" i="3" s="1"/>
  <c r="AZ51" i="3" s="1"/>
  <c r="AZ52" i="3" s="1"/>
  <c r="AZ53" i="3" s="1"/>
  <c r="AZ54" i="3" s="1"/>
  <c r="AZ55" i="3" s="1"/>
  <c r="AZ56" i="3" s="1"/>
  <c r="AZ57" i="3" s="1"/>
  <c r="AZ58" i="3" s="1"/>
  <c r="AZ59" i="3" s="1"/>
  <c r="AZ60" i="3" s="1"/>
  <c r="AZ61" i="3" s="1"/>
  <c r="AZ62" i="3" s="1"/>
  <c r="AZ63" i="3" s="1"/>
  <c r="AZ64" i="3" s="1"/>
  <c r="AZ65" i="3" s="1"/>
  <c r="AZ66" i="3" s="1"/>
  <c r="AZ67" i="3" s="1"/>
  <c r="AZ68" i="3" s="1"/>
  <c r="AZ69" i="3" s="1"/>
  <c r="AZ70" i="3" s="1"/>
  <c r="AZ71" i="3" s="1"/>
  <c r="AZ72" i="3" s="1"/>
  <c r="AZ73" i="3" s="1"/>
  <c r="AZ74" i="3" s="1"/>
  <c r="AZ75" i="3" s="1"/>
  <c r="AZ76" i="3" s="1"/>
  <c r="AZ77" i="3" s="1"/>
  <c r="AZ78" i="3" s="1"/>
  <c r="AZ79" i="3" s="1"/>
  <c r="AZ80" i="3" s="1"/>
  <c r="AZ81" i="3" s="1"/>
  <c r="AZ82" i="3" s="1"/>
  <c r="AZ83" i="3" s="1"/>
  <c r="AZ84" i="3" s="1"/>
  <c r="AZ85" i="3" s="1"/>
  <c r="AZ86" i="3" s="1"/>
  <c r="AZ87" i="3" s="1"/>
  <c r="AZ88" i="3" s="1"/>
  <c r="AZ89" i="3" s="1"/>
  <c r="AZ90" i="3" s="1"/>
  <c r="AZ91" i="3" s="1"/>
  <c r="AZ92" i="3" s="1"/>
  <c r="AZ93" i="3" s="1"/>
  <c r="AZ94" i="3" s="1"/>
  <c r="AZ95" i="3" s="1"/>
  <c r="AZ96" i="3" s="1"/>
  <c r="AZ97" i="3" s="1"/>
  <c r="AZ98" i="3" s="1"/>
  <c r="AZ99" i="3" s="1"/>
  <c r="AZ100" i="3" s="1"/>
  <c r="AZ101" i="3" s="1"/>
  <c r="AZ102" i="3" s="1"/>
  <c r="AZ103" i="3" s="1"/>
  <c r="AZ104" i="3" s="1"/>
  <c r="AZ105" i="3" s="1"/>
  <c r="AZ106" i="3" s="1"/>
  <c r="AZ107" i="3" s="1"/>
  <c r="AZ108" i="3" s="1"/>
  <c r="AZ109" i="3" s="1"/>
  <c r="AZ110" i="3" s="1"/>
  <c r="AZ111" i="3" s="1"/>
  <c r="AZ112" i="3" s="1"/>
  <c r="AZ113" i="3" s="1"/>
  <c r="AZ114" i="3" s="1"/>
  <c r="AZ115" i="3" s="1"/>
  <c r="AZ116" i="3" s="1"/>
  <c r="AZ117" i="3" s="1"/>
  <c r="AZ118" i="3" s="1"/>
  <c r="AZ119" i="3" s="1"/>
  <c r="AZ120" i="3" s="1"/>
  <c r="AZ121" i="3" s="1"/>
  <c r="AZ122" i="3" s="1"/>
  <c r="AZ123" i="3" s="1"/>
  <c r="AZ124" i="3" s="1"/>
  <c r="AZ125" i="3" s="1"/>
  <c r="AZ126" i="3" s="1"/>
  <c r="AZ127" i="3" s="1"/>
  <c r="AZ128" i="3" s="1"/>
  <c r="AZ129" i="3" s="1"/>
  <c r="AZ130" i="3" s="1"/>
  <c r="AZ131" i="3" s="1"/>
  <c r="AZ132" i="3" s="1"/>
  <c r="AZ133" i="3" s="1"/>
  <c r="AZ134" i="3" s="1"/>
  <c r="AZ135" i="3" s="1"/>
  <c r="AZ136" i="3" s="1"/>
  <c r="AZ137" i="3" s="1"/>
  <c r="AZ138" i="3" s="1"/>
  <c r="AZ139" i="3" s="1"/>
  <c r="AZ140" i="3" s="1"/>
  <c r="AZ141" i="3" s="1"/>
  <c r="AZ142" i="3" s="1"/>
  <c r="AZ143" i="3" s="1"/>
  <c r="AZ144" i="3" s="1"/>
  <c r="AZ145" i="3" s="1"/>
  <c r="AZ146" i="3" s="1"/>
  <c r="AZ147" i="3" s="1"/>
  <c r="AZ148" i="3" s="1"/>
  <c r="AZ149" i="3" s="1"/>
  <c r="AZ150" i="3" s="1"/>
  <c r="AZ151" i="3" s="1"/>
  <c r="AZ152" i="3" s="1"/>
  <c r="AZ153" i="3" s="1"/>
  <c r="AZ154" i="3" s="1"/>
  <c r="AZ155" i="3" s="1"/>
  <c r="AZ156" i="3" s="1"/>
  <c r="AZ157" i="3" s="1"/>
  <c r="AZ158" i="3" s="1"/>
  <c r="AZ159" i="3" s="1"/>
  <c r="AZ160" i="3" s="1"/>
  <c r="AZ161" i="3" s="1"/>
  <c r="AZ162" i="3" s="1"/>
  <c r="AZ163" i="3" s="1"/>
  <c r="AZ164" i="3" s="1"/>
  <c r="AZ165" i="3" s="1"/>
  <c r="AZ166" i="3" s="1"/>
  <c r="AZ167" i="3" s="1"/>
  <c r="AZ168" i="3" s="1"/>
  <c r="AZ169" i="3" s="1"/>
  <c r="AZ170" i="3" s="1"/>
  <c r="AZ171" i="3" s="1"/>
  <c r="AZ172" i="3" s="1"/>
  <c r="AZ173" i="3" s="1"/>
  <c r="AZ174" i="3" s="1"/>
  <c r="AZ175" i="3" s="1"/>
  <c r="AZ176" i="3" s="1"/>
  <c r="AZ177" i="3" s="1"/>
  <c r="AZ178" i="3" s="1"/>
  <c r="AZ179" i="3" s="1"/>
  <c r="AZ180" i="3" s="1"/>
  <c r="AZ181" i="3" s="1"/>
  <c r="AZ182" i="3" s="1"/>
  <c r="AZ183" i="3" s="1"/>
  <c r="AZ184" i="3" s="1"/>
  <c r="AZ185" i="3" s="1"/>
  <c r="AZ186" i="3" s="1"/>
  <c r="AZ187" i="3" s="1"/>
  <c r="AZ188" i="3" s="1"/>
  <c r="AZ189" i="3" s="1"/>
  <c r="AZ190" i="3" s="1"/>
  <c r="AZ191" i="3" s="1"/>
  <c r="AZ192" i="3" s="1"/>
  <c r="AZ193" i="3" s="1"/>
  <c r="AZ194" i="3" s="1"/>
  <c r="AZ195" i="3" s="1"/>
  <c r="AZ196" i="3" s="1"/>
  <c r="AZ197" i="3" s="1"/>
  <c r="AZ198" i="3" s="1"/>
  <c r="AZ199" i="3" s="1"/>
  <c r="AZ200" i="3" s="1"/>
  <c r="AZ201" i="3" s="1"/>
  <c r="AZ202" i="3" s="1"/>
  <c r="AZ203" i="3" s="1"/>
  <c r="AZ204" i="3" s="1"/>
  <c r="AZ205" i="3" s="1"/>
  <c r="AZ206" i="3" s="1"/>
  <c r="BN111" i="3"/>
  <c r="BN7" i="3"/>
  <c r="AP20" i="3"/>
  <c r="BN193" i="3"/>
  <c r="BN37" i="3"/>
  <c r="BN123" i="3"/>
  <c r="BN186" i="3"/>
  <c r="BN175" i="3"/>
  <c r="BN174" i="3"/>
  <c r="BN93" i="3"/>
  <c r="BN158" i="3"/>
  <c r="BN138" i="3"/>
  <c r="BN72" i="3"/>
  <c r="BN73" i="3"/>
  <c r="BN181" i="3"/>
  <c r="BN128" i="3"/>
  <c r="BN15" i="3"/>
  <c r="BR15" i="3" s="1"/>
  <c r="BS15" i="3" s="1"/>
  <c r="BN8" i="3"/>
  <c r="BN160" i="3"/>
  <c r="BN191" i="3"/>
  <c r="BN150" i="3"/>
  <c r="BN140" i="3"/>
  <c r="BN50" i="3"/>
  <c r="BN53" i="3"/>
  <c r="BN127" i="3"/>
  <c r="BN13" i="3"/>
  <c r="BN179" i="3"/>
  <c r="BN198" i="3"/>
  <c r="BN194" i="3"/>
  <c r="BN106" i="3"/>
  <c r="BN196" i="3"/>
  <c r="BN118" i="3"/>
  <c r="BN28" i="3"/>
  <c r="BN31" i="3"/>
  <c r="BN100" i="3"/>
  <c r="BN120" i="3"/>
  <c r="BN103" i="3"/>
  <c r="BN69" i="3"/>
  <c r="BN19" i="3"/>
  <c r="BN188" i="3"/>
  <c r="BN85" i="3"/>
  <c r="BN129" i="3"/>
  <c r="BR8" i="3"/>
  <c r="BS8" i="3" s="1"/>
  <c r="BN101" i="3"/>
  <c r="BN98" i="3"/>
  <c r="BN119" i="3"/>
  <c r="BN92" i="3"/>
  <c r="BN155" i="3"/>
  <c r="BN9" i="3"/>
  <c r="BN189" i="3"/>
  <c r="BN79" i="3"/>
  <c r="BN67" i="3"/>
  <c r="BN139" i="3"/>
  <c r="BN114" i="3"/>
  <c r="BN170" i="3"/>
  <c r="BN88" i="3"/>
  <c r="BN54" i="3"/>
  <c r="BN49" i="3"/>
  <c r="BN165" i="3"/>
  <c r="BN190" i="3"/>
  <c r="BN132" i="3"/>
  <c r="BN146" i="3"/>
  <c r="BN107" i="3"/>
  <c r="BN102" i="3"/>
  <c r="BN26" i="3"/>
  <c r="BN172" i="3"/>
  <c r="BN142" i="3"/>
  <c r="BN161" i="3"/>
  <c r="BN121" i="3"/>
  <c r="BN22" i="3"/>
  <c r="BN77" i="3"/>
  <c r="BN82" i="3"/>
  <c r="BN110" i="3"/>
  <c r="BN90" i="3"/>
  <c r="BN78" i="3"/>
  <c r="BN70" i="3"/>
  <c r="BN149" i="3"/>
  <c r="BN20" i="3"/>
  <c r="BN108" i="3"/>
  <c r="BN39" i="3"/>
  <c r="BN21" i="3"/>
  <c r="BN117" i="3"/>
  <c r="BN24" i="3"/>
  <c r="BN61" i="3"/>
  <c r="BN80" i="3"/>
  <c r="BN66" i="3"/>
  <c r="BN11" i="3"/>
  <c r="BR11" i="3" s="1"/>
  <c r="BS11" i="3" s="1"/>
  <c r="BN52" i="3"/>
  <c r="BN55" i="3"/>
  <c r="BN18" i="3"/>
  <c r="BN184" i="3"/>
  <c r="BN34" i="3"/>
  <c r="BN162" i="3"/>
  <c r="BN32" i="3"/>
  <c r="BN68" i="3"/>
  <c r="BN137" i="3"/>
  <c r="BN16" i="3"/>
  <c r="BR16" i="3" s="1"/>
  <c r="BS16" i="3" s="1"/>
  <c r="BN45" i="3"/>
  <c r="BN148" i="3"/>
  <c r="BN58" i="3"/>
  <c r="BN152" i="3"/>
  <c r="BN122" i="3"/>
  <c r="BN112" i="3"/>
  <c r="BN89" i="3"/>
  <c r="BR10" i="3"/>
  <c r="BS10" i="3" s="1"/>
  <c r="BA20" i="3" l="1"/>
  <c r="BA21" i="3"/>
  <c r="BR20" i="3"/>
  <c r="BS20" i="3" s="1"/>
  <c r="BA22" i="3" l="1"/>
  <c r="BR21" i="3"/>
  <c r="BS21" i="3" s="1"/>
  <c r="BA23" i="3" l="1"/>
  <c r="BR22" i="3"/>
  <c r="BS22" i="3" s="1"/>
  <c r="BA24" i="3" l="1"/>
  <c r="BR23" i="3"/>
  <c r="BS23" i="3" s="1"/>
  <c r="BR24" i="3" l="1"/>
  <c r="BS24" i="3" s="1"/>
  <c r="BA25" i="3"/>
  <c r="BA26" i="3" l="1"/>
  <c r="BR25" i="3"/>
  <c r="BS25" i="3" s="1"/>
  <c r="BA27" i="3" l="1"/>
  <c r="BR26" i="3"/>
  <c r="BS26" i="3" s="1"/>
  <c r="BA28" i="3" l="1"/>
  <c r="BR27" i="3"/>
  <c r="BS27" i="3" s="1"/>
  <c r="BA29" i="3" l="1"/>
  <c r="BR28" i="3"/>
  <c r="BS28" i="3" s="1"/>
  <c r="BA30" i="3" l="1"/>
  <c r="BR29" i="3"/>
  <c r="BS29" i="3" s="1"/>
  <c r="BA31" i="3" l="1"/>
  <c r="BR30" i="3"/>
  <c r="BS30" i="3" s="1"/>
  <c r="BA32" i="3" l="1"/>
  <c r="BR31" i="3"/>
  <c r="BS31" i="3" s="1"/>
  <c r="BR32" i="3" l="1"/>
  <c r="BS32" i="3" s="1"/>
  <c r="BA33" i="3"/>
  <c r="BA34" i="3" l="1"/>
  <c r="BR33" i="3"/>
  <c r="BS33" i="3" s="1"/>
  <c r="BA35" i="3" l="1"/>
  <c r="BR34" i="3"/>
  <c r="BS34" i="3" s="1"/>
  <c r="BA36" i="3" l="1"/>
  <c r="BR35" i="3"/>
  <c r="BS35" i="3" s="1"/>
  <c r="BA37" i="3" l="1"/>
  <c r="BR36" i="3"/>
  <c r="BS36" i="3" s="1"/>
  <c r="BA38" i="3" l="1"/>
  <c r="BR37" i="3"/>
  <c r="BS37" i="3" s="1"/>
  <c r="BA39" i="3" l="1"/>
  <c r="BR38" i="3"/>
  <c r="BS38" i="3" s="1"/>
  <c r="BA40" i="3" l="1"/>
  <c r="BR39" i="3"/>
  <c r="BS39" i="3" s="1"/>
  <c r="BR40" i="3" l="1"/>
  <c r="BS40" i="3" s="1"/>
  <c r="BA41" i="3"/>
  <c r="BA42" i="3" l="1"/>
  <c r="BR41" i="3"/>
  <c r="BS41" i="3" s="1"/>
  <c r="BR42" i="3" l="1"/>
  <c r="BS42" i="3" s="1"/>
  <c r="BA43" i="3"/>
  <c r="BR43" i="3" l="1"/>
  <c r="BS43" i="3" s="1"/>
  <c r="BA44" i="3"/>
  <c r="BR44" i="3" l="1"/>
  <c r="BS44" i="3" s="1"/>
  <c r="BA45" i="3"/>
  <c r="BR45" i="3" l="1"/>
  <c r="BS45" i="3" s="1"/>
  <c r="BA46" i="3"/>
  <c r="BA47" i="3" l="1"/>
  <c r="BR46" i="3"/>
  <c r="BS46" i="3" s="1"/>
  <c r="BA48" i="3" l="1"/>
  <c r="BR47" i="3"/>
  <c r="BS47" i="3" s="1"/>
  <c r="BR48" i="3" l="1"/>
  <c r="BS48" i="3" s="1"/>
  <c r="BA49" i="3"/>
  <c r="BA50" i="3" l="1"/>
  <c r="BR49" i="3"/>
  <c r="BS49" i="3" s="1"/>
  <c r="BR50" i="3" l="1"/>
  <c r="BS50" i="3" s="1"/>
  <c r="BA51" i="3"/>
  <c r="BA52" i="3" l="1"/>
  <c r="BR51" i="3"/>
  <c r="BS51" i="3" s="1"/>
  <c r="BA53" i="3" l="1"/>
  <c r="BR52" i="3"/>
  <c r="BS52" i="3" s="1"/>
  <c r="BA54" i="3" l="1"/>
  <c r="BR53" i="3"/>
  <c r="BS53" i="3" s="1"/>
  <c r="BA55" i="3" l="1"/>
  <c r="BR54" i="3"/>
  <c r="BS54" i="3" s="1"/>
  <c r="BA56" i="3" l="1"/>
  <c r="BR55" i="3"/>
  <c r="BS55" i="3" s="1"/>
  <c r="BR56" i="3" l="1"/>
  <c r="BS56" i="3" s="1"/>
  <c r="BA57" i="3"/>
  <c r="BA58" i="3" l="1"/>
  <c r="BR57" i="3"/>
  <c r="BS57" i="3" s="1"/>
  <c r="BR58" i="3" l="1"/>
  <c r="BS58" i="3" s="1"/>
  <c r="BA59" i="3"/>
  <c r="BR59" i="3" l="1"/>
  <c r="BS59" i="3" s="1"/>
  <c r="BA60" i="3"/>
  <c r="BR60" i="3" l="1"/>
  <c r="BS60" i="3" s="1"/>
  <c r="BA61" i="3"/>
  <c r="BR61" i="3" l="1"/>
  <c r="BS61" i="3" s="1"/>
  <c r="BA62" i="3"/>
  <c r="BA63" i="3" l="1"/>
  <c r="BR62" i="3"/>
  <c r="BS62" i="3" s="1"/>
  <c r="BA64" i="3" l="1"/>
  <c r="BR63" i="3"/>
  <c r="BS63" i="3" s="1"/>
  <c r="BA65" i="3" l="1"/>
  <c r="BR64" i="3"/>
  <c r="BS64" i="3" s="1"/>
  <c r="BA66" i="3" l="1"/>
  <c r="BR65" i="3"/>
  <c r="BS65" i="3" s="1"/>
  <c r="BA67" i="3" l="1"/>
  <c r="BR66" i="3"/>
  <c r="BS66" i="3" s="1"/>
  <c r="BR67" i="3" l="1"/>
  <c r="BS67" i="3" s="1"/>
  <c r="BA68" i="3"/>
  <c r="BA69" i="3" l="1"/>
  <c r="BR68" i="3"/>
  <c r="BS68" i="3" s="1"/>
  <c r="BR69" i="3" l="1"/>
  <c r="BS69" i="3" s="1"/>
  <c r="BA70" i="3"/>
  <c r="BA71" i="3" l="1"/>
  <c r="BR70" i="3"/>
  <c r="BS70" i="3" s="1"/>
  <c r="BR71" i="3" l="1"/>
  <c r="BS71" i="3" s="1"/>
  <c r="BA72" i="3"/>
  <c r="BA73" i="3" l="1"/>
  <c r="BR72" i="3"/>
  <c r="BS72" i="3" s="1"/>
  <c r="BA74" i="3" l="1"/>
  <c r="BR73" i="3"/>
  <c r="BS73" i="3" s="1"/>
  <c r="BA75" i="3" l="1"/>
  <c r="BR74" i="3"/>
  <c r="BS74" i="3" s="1"/>
  <c r="BA76" i="3" l="1"/>
  <c r="BR75" i="3"/>
  <c r="BS75" i="3" s="1"/>
  <c r="BA77" i="3" l="1"/>
  <c r="BR76" i="3"/>
  <c r="BS76" i="3" s="1"/>
  <c r="BA78" i="3" l="1"/>
  <c r="BR77" i="3"/>
  <c r="BS77" i="3" s="1"/>
  <c r="BA79" i="3" l="1"/>
  <c r="BR78" i="3"/>
  <c r="BS78" i="3" s="1"/>
  <c r="BR79" i="3" l="1"/>
  <c r="BS79" i="3" s="1"/>
  <c r="BA80" i="3"/>
  <c r="BR80" i="3" l="1"/>
  <c r="BS80" i="3" s="1"/>
  <c r="BA81" i="3"/>
  <c r="BA82" i="3" l="1"/>
  <c r="BR81" i="3"/>
  <c r="BS81" i="3" s="1"/>
  <c r="BA83" i="3" l="1"/>
  <c r="BR82" i="3"/>
  <c r="BS82" i="3" s="1"/>
  <c r="BR83" i="3" l="1"/>
  <c r="BS83" i="3" s="1"/>
  <c r="BA84" i="3"/>
  <c r="BR84" i="3" l="1"/>
  <c r="BS84" i="3" s="1"/>
  <c r="BA85" i="3"/>
  <c r="BA86" i="3" l="1"/>
  <c r="BR85" i="3"/>
  <c r="BS85" i="3" s="1"/>
  <c r="BA87" i="3" l="1"/>
  <c r="BR86" i="3"/>
  <c r="BS86" i="3" s="1"/>
  <c r="BR87" i="3" l="1"/>
  <c r="BS87" i="3" s="1"/>
  <c r="BA88" i="3"/>
  <c r="BA89" i="3" l="1"/>
  <c r="BR88" i="3"/>
  <c r="BS88" i="3" s="1"/>
  <c r="BR89" i="3" l="1"/>
  <c r="BS89" i="3" s="1"/>
  <c r="BA90" i="3"/>
  <c r="BA91" i="3" l="1"/>
  <c r="BR90" i="3"/>
  <c r="BS90" i="3" s="1"/>
  <c r="BR91" i="3" l="1"/>
  <c r="BS91" i="3" s="1"/>
  <c r="BA92" i="3"/>
  <c r="BA93" i="3" l="1"/>
  <c r="BR92" i="3"/>
  <c r="BS92" i="3" s="1"/>
  <c r="BR93" i="3" l="1"/>
  <c r="BS93" i="3" s="1"/>
  <c r="BA94" i="3"/>
  <c r="BR94" i="3" l="1"/>
  <c r="BS94" i="3" s="1"/>
  <c r="BA95" i="3"/>
  <c r="BA96" i="3" l="1"/>
  <c r="BR95" i="3"/>
  <c r="BS95" i="3" s="1"/>
  <c r="BA97" i="3" l="1"/>
  <c r="BR96" i="3"/>
  <c r="BS96" i="3" s="1"/>
  <c r="BA98" i="3" l="1"/>
  <c r="BR97" i="3"/>
  <c r="BS97" i="3" s="1"/>
  <c r="BR98" i="3" l="1"/>
  <c r="BS98" i="3" s="1"/>
  <c r="BA99" i="3"/>
  <c r="BR99" i="3" l="1"/>
  <c r="BS99" i="3" s="1"/>
  <c r="BA100" i="3"/>
  <c r="BA101" i="3" l="1"/>
  <c r="BR100" i="3"/>
  <c r="BS100" i="3" s="1"/>
  <c r="BA102" i="3" l="1"/>
  <c r="BR101" i="3"/>
  <c r="BS101" i="3" s="1"/>
  <c r="BA103" i="3" l="1"/>
  <c r="BR102" i="3"/>
  <c r="BS102" i="3" s="1"/>
  <c r="BA104" i="3" l="1"/>
  <c r="BR103" i="3"/>
  <c r="BS103" i="3" s="1"/>
  <c r="BA105" i="3" l="1"/>
  <c r="BR104" i="3"/>
  <c r="BS104" i="3" s="1"/>
  <c r="BA106" i="3" l="1"/>
  <c r="BR105" i="3"/>
  <c r="BS105" i="3" s="1"/>
  <c r="BR106" i="3" l="1"/>
  <c r="BS106" i="3" s="1"/>
  <c r="BA107" i="3"/>
  <c r="BA108" i="3" l="1"/>
  <c r="BR107" i="3"/>
  <c r="BS107" i="3" s="1"/>
  <c r="BA109" i="3" l="1"/>
  <c r="BR108" i="3"/>
  <c r="BS108" i="3" s="1"/>
  <c r="BA110" i="3" l="1"/>
  <c r="BR109" i="3"/>
  <c r="BS109" i="3" s="1"/>
  <c r="BA111" i="3" l="1"/>
  <c r="BR110" i="3"/>
  <c r="BS110" i="3" s="1"/>
  <c r="BA112" i="3" l="1"/>
  <c r="BR111" i="3"/>
  <c r="BS111" i="3" s="1"/>
  <c r="BA113" i="3" l="1"/>
  <c r="BR112" i="3"/>
  <c r="BS112" i="3" s="1"/>
  <c r="BA114" i="3" l="1"/>
  <c r="BR113" i="3"/>
  <c r="BS113" i="3" s="1"/>
  <c r="BA115" i="3" l="1"/>
  <c r="BR114" i="3"/>
  <c r="BS114" i="3" s="1"/>
  <c r="BA116" i="3" l="1"/>
  <c r="BR115" i="3"/>
  <c r="BS115" i="3" s="1"/>
  <c r="BA117" i="3" l="1"/>
  <c r="BR116" i="3"/>
  <c r="BS116" i="3" s="1"/>
  <c r="BA118" i="3" l="1"/>
  <c r="BR117" i="3"/>
  <c r="BS117" i="3" s="1"/>
  <c r="BA119" i="3" l="1"/>
  <c r="BR118" i="3"/>
  <c r="BS118" i="3" s="1"/>
  <c r="BA120" i="3" l="1"/>
  <c r="BR119" i="3"/>
  <c r="BS119" i="3" s="1"/>
  <c r="BA121" i="3" l="1"/>
  <c r="BR120" i="3"/>
  <c r="BS120" i="3" s="1"/>
  <c r="BA122" i="3" l="1"/>
  <c r="BR121" i="3"/>
  <c r="BS121" i="3" s="1"/>
  <c r="BA123" i="3" l="1"/>
  <c r="BR122" i="3"/>
  <c r="BS122" i="3" s="1"/>
  <c r="BR123" i="3" l="1"/>
  <c r="BS123" i="3" s="1"/>
  <c r="BA124" i="3"/>
  <c r="BA125" i="3" l="1"/>
  <c r="BR124" i="3"/>
  <c r="BS124" i="3" s="1"/>
  <c r="BR125" i="3" l="1"/>
  <c r="BS125" i="3" s="1"/>
  <c r="BA126" i="3"/>
  <c r="BA127" i="3" l="1"/>
  <c r="BR126" i="3"/>
  <c r="BS126" i="3" s="1"/>
  <c r="BR127" i="3" l="1"/>
  <c r="BS127" i="3" s="1"/>
  <c r="BA128" i="3"/>
  <c r="BA129" i="3" l="1"/>
  <c r="BR128" i="3"/>
  <c r="BS128" i="3" s="1"/>
  <c r="BA130" i="3" l="1"/>
  <c r="BR129" i="3"/>
  <c r="BS129" i="3" s="1"/>
  <c r="BR130" i="3" l="1"/>
  <c r="BS130" i="3" s="1"/>
  <c r="BA131" i="3"/>
  <c r="BA132" i="3" l="1"/>
  <c r="BR131" i="3"/>
  <c r="BS131" i="3" s="1"/>
  <c r="BA133" i="3" l="1"/>
  <c r="BR132" i="3"/>
  <c r="BS132" i="3" s="1"/>
  <c r="BR133" i="3" l="1"/>
  <c r="BS133" i="3" s="1"/>
  <c r="BA134" i="3"/>
  <c r="BA135" i="3" l="1"/>
  <c r="BR134" i="3"/>
  <c r="BS134" i="3" s="1"/>
  <c r="BA136" i="3" l="1"/>
  <c r="BR135" i="3"/>
  <c r="BS135" i="3" s="1"/>
  <c r="BA137" i="3" l="1"/>
  <c r="BR136" i="3"/>
  <c r="BS136" i="3" s="1"/>
  <c r="BA138" i="3" l="1"/>
  <c r="BR137" i="3"/>
  <c r="BS137" i="3" s="1"/>
  <c r="BA139" i="3" l="1"/>
  <c r="BR138" i="3"/>
  <c r="BS138" i="3" s="1"/>
  <c r="BA140" i="3" l="1"/>
  <c r="BR139" i="3"/>
  <c r="BS139" i="3" s="1"/>
  <c r="BA141" i="3" l="1"/>
  <c r="BR140" i="3"/>
  <c r="BS140" i="3" s="1"/>
  <c r="BA142" i="3" l="1"/>
  <c r="BR141" i="3"/>
  <c r="BS141" i="3" s="1"/>
  <c r="BA143" i="3" l="1"/>
  <c r="BR142" i="3"/>
  <c r="BS142" i="3" s="1"/>
  <c r="BA144" i="3" l="1"/>
  <c r="BR143" i="3"/>
  <c r="BS143" i="3" s="1"/>
  <c r="BA145" i="3" l="1"/>
  <c r="BR144" i="3"/>
  <c r="BS144" i="3" s="1"/>
  <c r="BA146" i="3" l="1"/>
  <c r="BR145" i="3"/>
  <c r="BS145" i="3" s="1"/>
  <c r="BA147" i="3" l="1"/>
  <c r="BR146" i="3"/>
  <c r="BS146" i="3" s="1"/>
  <c r="BR147" i="3" l="1"/>
  <c r="BS147" i="3" s="1"/>
  <c r="BA148" i="3"/>
  <c r="BA149" i="3" l="1"/>
  <c r="BR148" i="3"/>
  <c r="BS148" i="3" s="1"/>
  <c r="BA150" i="3" l="1"/>
  <c r="BR149" i="3"/>
  <c r="BS149" i="3" s="1"/>
  <c r="BR150" i="3" l="1"/>
  <c r="BS150" i="3" s="1"/>
  <c r="BA151" i="3"/>
  <c r="BA152" i="3" l="1"/>
  <c r="BR151" i="3"/>
  <c r="BS151" i="3" s="1"/>
  <c r="BR152" i="3" l="1"/>
  <c r="BS152" i="3" s="1"/>
  <c r="BA153" i="3"/>
  <c r="BA154" i="3" l="1"/>
  <c r="BR153" i="3"/>
  <c r="BS153" i="3" s="1"/>
  <c r="BA155" i="3" l="1"/>
  <c r="BR154" i="3"/>
  <c r="BS154" i="3" s="1"/>
  <c r="BR155" i="3" l="1"/>
  <c r="BS155" i="3" s="1"/>
  <c r="BA156" i="3"/>
  <c r="BA157" i="3" l="1"/>
  <c r="BR156" i="3"/>
  <c r="BS156" i="3" s="1"/>
  <c r="BA158" i="3" l="1"/>
  <c r="BR157" i="3"/>
  <c r="BS157" i="3" s="1"/>
  <c r="BR158" i="3" l="1"/>
  <c r="BS158" i="3" s="1"/>
  <c r="BA159" i="3"/>
  <c r="BR159" i="3" l="1"/>
  <c r="BS159" i="3" s="1"/>
  <c r="BA160" i="3"/>
  <c r="BR160" i="3" l="1"/>
  <c r="BS160" i="3" s="1"/>
  <c r="BA161" i="3"/>
  <c r="BR161" i="3" l="1"/>
  <c r="BS161" i="3" s="1"/>
  <c r="BA162" i="3"/>
  <c r="BR162" i="3" l="1"/>
  <c r="BS162" i="3" s="1"/>
  <c r="BA163" i="3"/>
  <c r="BA164" i="3" l="1"/>
  <c r="BR163" i="3"/>
  <c r="BS163" i="3" s="1"/>
  <c r="BR164" i="3" l="1"/>
  <c r="BS164" i="3" s="1"/>
  <c r="BA165" i="3"/>
  <c r="BA166" i="3" l="1"/>
  <c r="BR165" i="3"/>
  <c r="BS165" i="3" s="1"/>
  <c r="BA167" i="3" l="1"/>
  <c r="BR166" i="3"/>
  <c r="BS166" i="3" s="1"/>
  <c r="BR167" i="3" l="1"/>
  <c r="BS167" i="3" s="1"/>
  <c r="BA168" i="3"/>
  <c r="BR168" i="3" l="1"/>
  <c r="BS168" i="3" s="1"/>
  <c r="BA169" i="3"/>
  <c r="BR169" i="3" l="1"/>
  <c r="BS169" i="3" s="1"/>
  <c r="BA170" i="3"/>
  <c r="BA171" i="3" l="1"/>
  <c r="BR170" i="3"/>
  <c r="BS170" i="3" s="1"/>
  <c r="BR171" i="3" l="1"/>
  <c r="BS171" i="3" s="1"/>
  <c r="BA172" i="3"/>
  <c r="BA173" i="3" l="1"/>
  <c r="BR172" i="3"/>
  <c r="BS172" i="3" s="1"/>
  <c r="BA174" i="3" l="1"/>
  <c r="BR173" i="3"/>
  <c r="BS173" i="3" s="1"/>
  <c r="BR174" i="3" l="1"/>
  <c r="BS174" i="3" s="1"/>
  <c r="BA175" i="3"/>
  <c r="BA176" i="3" l="1"/>
  <c r="BR175" i="3"/>
  <c r="BS175" i="3" s="1"/>
  <c r="BR176" i="3" l="1"/>
  <c r="BS176" i="3" s="1"/>
  <c r="BA177" i="3"/>
  <c r="BR177" i="3" l="1"/>
  <c r="BS177" i="3" s="1"/>
  <c r="BA178" i="3"/>
  <c r="BR178" i="3" l="1"/>
  <c r="BS178" i="3" s="1"/>
  <c r="BA179" i="3"/>
  <c r="BA180" i="3" l="1"/>
  <c r="BR179" i="3"/>
  <c r="BS179" i="3" s="1"/>
  <c r="BA181" i="3" l="1"/>
  <c r="BR180" i="3"/>
  <c r="BS180" i="3" s="1"/>
  <c r="BA182" i="3" l="1"/>
  <c r="BR181" i="3"/>
  <c r="BS181" i="3" s="1"/>
  <c r="BR182" i="3" l="1"/>
  <c r="BS182" i="3" s="1"/>
  <c r="BA183" i="3"/>
  <c r="BA184" i="3" l="1"/>
  <c r="BR183" i="3"/>
  <c r="BS183" i="3" s="1"/>
  <c r="BA185" i="3" l="1"/>
  <c r="BR184" i="3"/>
  <c r="BS184" i="3" s="1"/>
  <c r="BA186" i="3" l="1"/>
  <c r="BR185" i="3"/>
  <c r="BS185" i="3" s="1"/>
  <c r="BR186" i="3" l="1"/>
  <c r="BS186" i="3" s="1"/>
  <c r="BA187" i="3"/>
  <c r="BA188" i="3" l="1"/>
  <c r="BR187" i="3"/>
  <c r="BS187" i="3" s="1"/>
  <c r="BR188" i="3" l="1"/>
  <c r="BS188" i="3" s="1"/>
  <c r="BA189" i="3"/>
  <c r="BA190" i="3" l="1"/>
  <c r="BR189" i="3"/>
  <c r="BS189" i="3" s="1"/>
  <c r="BA191" i="3" l="1"/>
  <c r="BR190" i="3"/>
  <c r="BS190" i="3" s="1"/>
  <c r="BA192" i="3" l="1"/>
  <c r="BR191" i="3"/>
  <c r="BS191" i="3" s="1"/>
  <c r="BA193" i="3" l="1"/>
  <c r="BR192" i="3"/>
  <c r="BS192" i="3" s="1"/>
  <c r="BA194" i="3" l="1"/>
  <c r="BR193" i="3"/>
  <c r="BS193" i="3" s="1"/>
  <c r="BA195" i="3" l="1"/>
  <c r="BR194" i="3"/>
  <c r="BS194" i="3" s="1"/>
  <c r="BA196" i="3" l="1"/>
  <c r="BR195" i="3"/>
  <c r="BS195" i="3" s="1"/>
  <c r="BR196" i="3" l="1"/>
  <c r="BS196" i="3" s="1"/>
  <c r="BA197" i="3"/>
  <c r="BR197" i="3" l="1"/>
  <c r="BS197" i="3" s="1"/>
  <c r="BA198" i="3"/>
  <c r="BA199" i="3" l="1"/>
  <c r="BR198" i="3"/>
  <c r="BS198" i="3" s="1"/>
  <c r="BR199" i="3" l="1"/>
  <c r="BS199" i="3" s="1"/>
  <c r="BA200" i="3"/>
  <c r="BR200" i="3" l="1"/>
  <c r="BS200" i="3" s="1"/>
  <c r="BA201" i="3"/>
  <c r="BA202" i="3" l="1"/>
  <c r="BR201" i="3"/>
  <c r="BS201" i="3" s="1"/>
  <c r="BA203" i="3" l="1"/>
  <c r="BR202" i="3"/>
  <c r="BS202" i="3" s="1"/>
  <c r="BR203" i="3" l="1"/>
  <c r="BS203" i="3" s="1"/>
  <c r="BA204" i="3"/>
  <c r="BR204" i="3" l="1"/>
  <c r="BS204" i="3" s="1"/>
  <c r="BA205" i="3"/>
  <c r="BA206" i="3" l="1"/>
  <c r="BR206" i="3" s="1"/>
  <c r="BS206" i="3" s="1"/>
  <c r="BR205" i="3"/>
  <c r="BS205" i="3" s="1"/>
</calcChain>
</file>

<file path=xl/sharedStrings.xml><?xml version="1.0" encoding="utf-8"?>
<sst xmlns="http://schemas.openxmlformats.org/spreadsheetml/2006/main" count="331" uniqueCount="189">
  <si>
    <t>id</t>
  </si>
  <si>
    <t>'name'</t>
  </si>
  <si>
    <t>'data source'</t>
  </si>
  <si>
    <t>bulk density'</t>
  </si>
  <si>
    <t>'thermal capacity'</t>
  </si>
  <si>
    <t>'thermal conductivity'</t>
  </si>
  <si>
    <t xml:space="preserve">'capillary moisture content' </t>
  </si>
  <si>
    <t>absorbivity for short wave radiation [-]'</t>
  </si>
  <si>
    <t>Equation type (vdc(1))</t>
  </si>
  <si>
    <t>vdc(2)</t>
  </si>
  <si>
    <t>vdc(3)</t>
  </si>
  <si>
    <t>vdc(4)</t>
  </si>
  <si>
    <t>vdc(5)</t>
  </si>
  <si>
    <t>vdc(6)</t>
  </si>
  <si>
    <t>vdc(7)</t>
  </si>
  <si>
    <t>(nret)</t>
  </si>
  <si>
    <t>reta1</t>
  </si>
  <si>
    <t>retn1</t>
  </si>
  <si>
    <t>retm1</t>
  </si>
  <si>
    <t>retw1</t>
  </si>
  <si>
    <t>Cc</t>
  </si>
  <si>
    <t>Ww</t>
  </si>
  <si>
    <t>reta2</t>
  </si>
  <si>
    <t>retn2</t>
  </si>
  <si>
    <t>retm2</t>
  </si>
  <si>
    <t>retw2</t>
  </si>
  <si>
    <t>reta3</t>
  </si>
  <si>
    <t>retn3</t>
  </si>
  <si>
    <t>retm3</t>
  </si>
  <si>
    <t>retw3</t>
  </si>
  <si>
    <t>keq</t>
  </si>
  <si>
    <t>ka(j)</t>
  </si>
  <si>
    <t>kb(j)</t>
  </si>
  <si>
    <t>kreta(j1)</t>
  </si>
  <si>
    <t>kretn(j1)</t>
  </si>
  <si>
    <t>kretm(j1)</t>
  </si>
  <si>
    <t>kretw(j1)</t>
  </si>
  <si>
    <t>kreta(j2)</t>
  </si>
  <si>
    <t>kretn(j2)</t>
  </si>
  <si>
    <t>kretm(j2)</t>
  </si>
  <si>
    <t>kretw(j2)</t>
  </si>
  <si>
    <t>kreta(j3)</t>
  </si>
  <si>
    <t>kretn(j3)</t>
  </si>
  <si>
    <t>kretm(j3)</t>
  </si>
  <si>
    <t>kretw(j3)</t>
  </si>
  <si>
    <t>-</t>
  </si>
  <si>
    <t>'[kg/m3]'</t>
  </si>
  <si>
    <t>'[J/kgK]'</t>
  </si>
  <si>
    <t>'[W/mK] - dry term'</t>
  </si>
  <si>
    <t>'[W/mK] moisture term - * w'</t>
  </si>
  <si>
    <t>vapour diffusion coefficient</t>
  </si>
  <si>
    <t>Moisture storage parameters C and w (coefficients for the equation)</t>
  </si>
  <si>
    <t>equation type for logK</t>
  </si>
  <si>
    <t>Coefficients for the calculation of log10 of the liquid permeability/conductivity</t>
  </si>
  <si>
    <t>'concrete'</t>
  </si>
  <si>
    <t>'HAMSTAD benchmark 1'</t>
  </si>
  <si>
    <t>'polysterene'</t>
  </si>
  <si>
    <t>'ceramic brick'</t>
  </si>
  <si>
    <t>'HAMSTAD benchmark 4'</t>
  </si>
  <si>
    <t>'plaster'</t>
  </si>
  <si>
    <t>'outside mineral plaster base layer'</t>
  </si>
  <si>
    <t xml:space="preserve">'EIFS Vlietbuilding - KULeuven' </t>
  </si>
  <si>
    <t>'outside mineral plaster top layer'</t>
  </si>
  <si>
    <t>'EIFS Vlietbuilding -KULeuven'</t>
  </si>
  <si>
    <t>'calcium silicate'</t>
  </si>
  <si>
    <t>'Anne-Séverine'</t>
  </si>
  <si>
    <t>'cement mortar'</t>
  </si>
  <si>
    <t>'TUDresden'</t>
  </si>
  <si>
    <t>'cement mortar 2'</t>
  </si>
  <si>
    <t>'KULeuven - lambda missing'</t>
  </si>
  <si>
    <t>'cement mortar 1'</t>
  </si>
  <si>
    <t>'wood fibre board'</t>
  </si>
  <si>
    <t>'IEA Annex 24'</t>
  </si>
  <si>
    <t>'plywood'</t>
  </si>
  <si>
    <t>'gypsum plaster'</t>
  </si>
  <si>
    <t>'Goossens 2003 - cet &amp; lambda missing'</t>
  </si>
  <si>
    <t>'cellulose insulation'</t>
  </si>
  <si>
    <t>'Peukhuri 2003'</t>
  </si>
  <si>
    <t>'perlite insulation'</t>
  </si>
  <si>
    <t>'aerated cellular concrete'</t>
  </si>
  <si>
    <t>'flax insulation'</t>
  </si>
  <si>
    <t>'Jan Carmeliet'</t>
  </si>
  <si>
    <t>'wood homogeneous non-isotropic'</t>
  </si>
  <si>
    <t>'KULeuven'</t>
  </si>
  <si>
    <t>'early wood non-isotropic'</t>
  </si>
  <si>
    <t>'late wood non-isotropic'</t>
  </si>
  <si>
    <t>'wood copy mat 11 + Bestest600'</t>
  </si>
  <si>
    <t>'dryprop-bestest'</t>
  </si>
  <si>
    <t>'insulation copy mat 14 + Bestest600'</t>
  </si>
  <si>
    <t>'plaster copy mat 4 + Bestest600'</t>
  </si>
  <si>
    <t>'concrete mat1 + BESTEST 900 '</t>
  </si>
  <si>
    <t>'insulation copy mat 14 + Bestest900 wall'</t>
  </si>
  <si>
    <t>'wood copy mat 11 + Bestest600 piso'</t>
  </si>
  <si>
    <t>pc</t>
  </si>
  <si>
    <t>Tc</t>
  </si>
  <si>
    <t>Rv</t>
  </si>
  <si>
    <t>RHO_liq</t>
  </si>
  <si>
    <t>rh</t>
  </si>
  <si>
    <t>i=1</t>
  </si>
  <si>
    <t>W (kg/m3)</t>
  </si>
  <si>
    <t>log(-pc)</t>
  </si>
  <si>
    <t>tmp</t>
  </si>
  <si>
    <t>conductivity</t>
  </si>
  <si>
    <t>heat capacity</t>
  </si>
  <si>
    <t>i=2</t>
  </si>
  <si>
    <t>i=3</t>
  </si>
  <si>
    <t>!</t>
  </si>
  <si>
    <t>vdc1</t>
  </si>
  <si>
    <t>vdc2</t>
  </si>
  <si>
    <t>vdc3</t>
  </si>
  <si>
    <t>POOR</t>
  </si>
  <si>
    <t>vapour diffusion coefficient in [s]</t>
  </si>
  <si>
    <t xml:space="preserve">logarithm to the base 10 of the liquid permeability/conductivity, depending </t>
  </si>
  <si>
    <t>keq=1</t>
  </si>
  <si>
    <t>keq=2</t>
  </si>
  <si>
    <t>keq=3</t>
  </si>
  <si>
    <t>dum1</t>
  </si>
  <si>
    <t>dum2</t>
  </si>
  <si>
    <t>dum3</t>
  </si>
  <si>
    <t>dum4</t>
  </si>
  <si>
    <t>material 7 (calcium silicate)</t>
  </si>
  <si>
    <t>material 8 (cement mortar)</t>
  </si>
  <si>
    <t>material 51 (ceramic brick)</t>
  </si>
  <si>
    <t>200 material 52 (calcium silicate)</t>
  </si>
  <si>
    <t>keq=4</t>
  </si>
  <si>
    <t>log pc</t>
  </si>
  <si>
    <t>log K</t>
  </si>
  <si>
    <t>name</t>
  </si>
  <si>
    <t>data source</t>
  </si>
  <si>
    <t>bulk density</t>
  </si>
  <si>
    <t>thermal capacity</t>
  </si>
  <si>
    <t>thermal conductivity</t>
  </si>
  <si>
    <t xml:space="preserve">capillary moisture content </t>
  </si>
  <si>
    <t>absorbivity for short wave radiation [-]</t>
  </si>
  <si>
    <t>type of equation</t>
  </si>
  <si>
    <t>log of liquid permeability/conductivity</t>
  </si>
  <si>
    <t>RH</t>
  </si>
  <si>
    <t>K</t>
  </si>
  <si>
    <t>log vapour diff coef</t>
  </si>
  <si>
    <t>ID</t>
  </si>
  <si>
    <t>tmp I</t>
  </si>
  <si>
    <t>tmp II</t>
  </si>
  <si>
    <t>tmp III</t>
  </si>
  <si>
    <t>C1</t>
  </si>
  <si>
    <t>C2</t>
  </si>
  <si>
    <t>C</t>
  </si>
  <si>
    <t>Wexp</t>
  </si>
  <si>
    <t>Wdif</t>
  </si>
  <si>
    <t>C3</t>
  </si>
  <si>
    <t>C (kg/m3Pa)</t>
  </si>
  <si>
    <t>D (m2/2)</t>
  </si>
  <si>
    <t>kg/kg</t>
  </si>
  <si>
    <t>kg/m3</t>
  </si>
  <si>
    <t>density</t>
  </si>
  <si>
    <t>thermal conductivity - moisture term</t>
  </si>
  <si>
    <t>'number of materials in this database'</t>
  </si>
  <si>
    <t>IEA Annex 24 - Spruce pg 53'</t>
  </si>
  <si>
    <t>IEA Annex 24 - Cellulose pg 87'</t>
  </si>
  <si>
    <t>IEA Annex 24 - Fiber Glass Insulation pg 77 + no mositure transfer'</t>
  </si>
  <si>
    <t>IEA Annex 24 - plywood pg 56'</t>
  </si>
  <si>
    <t>vdc5</t>
  </si>
  <si>
    <t>vdc4</t>
  </si>
  <si>
    <t>'wood siding (exterior) Annex41 Bestest 600'</t>
  </si>
  <si>
    <t>'cellulose insulation Annex41 Bestest 600'</t>
  </si>
  <si>
    <t>'wood panel (interior) Annex41 Bestest 600'</t>
  </si>
  <si>
    <t>'timber flooring Annex41 Bestest 600'</t>
  </si>
  <si>
    <t>'insulation (floor) Annex 41 Bestest 600'</t>
  </si>
  <si>
    <t>'concrete CFD-HAM'</t>
  </si>
  <si>
    <t>roof deck Annex 41 Bestest 600'</t>
  </si>
  <si>
    <t>vdc6</t>
  </si>
  <si>
    <t>'aerated concrete'</t>
  </si>
  <si>
    <t>'IEA Annex 41 - CE1 - 0B'</t>
  </si>
  <si>
    <t>'IEA Annex 41 - CE1 - 1'</t>
  </si>
  <si>
    <t>'aerated concrete-dnk'</t>
  </si>
  <si>
    <t>'1 Mineral plaster'</t>
  </si>
  <si>
    <t>'2 Polystyrene'</t>
  </si>
  <si>
    <t>'3 Brick'</t>
  </si>
  <si>
    <t>'4 Old plaster'</t>
  </si>
  <si>
    <t>'5 Gypsum plaster'</t>
  </si>
  <si>
    <r>
      <t>'6 Mineralwool</t>
    </r>
    <r>
      <rPr>
        <vertAlign val="superscript"/>
        <sz val="10"/>
        <rFont val="Arial"/>
        <family val="2"/>
      </rPr>
      <t>1)'</t>
    </r>
  </si>
  <si>
    <t>'7 Wood'</t>
  </si>
  <si>
    <t>'8 Concrete screed'</t>
  </si>
  <si>
    <t>'9 Concrete'</t>
  </si>
  <si>
    <t>'10 PVC linoleum'</t>
  </si>
  <si>
    <t>'11 aluminium foil'</t>
  </si>
  <si>
    <t>'IEA Annex 41 - CE3 - FhG'</t>
  </si>
  <si>
    <t>Ci</t>
  </si>
  <si>
    <t>Wi</t>
  </si>
  <si>
    <t>case'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</si>
</sst>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E+00"/>
    <numFmt numFmtId="165" formatCode="0.0E+00"/>
    <numFmt numFmtId="166" formatCode="0.000"/>
    <numFmt numFmtId="167" formatCode="0.0"/>
  </numFmts>
  <fonts count="11" x14ac:knownFonts="1">
    <font>
      <sz val="10"/>
      <name val="Arial"/>
    </font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9"/>
      <color indexed="63"/>
      <name val="Arial"/>
      <family val="2"/>
    </font>
    <font>
      <sz val="9"/>
      <name val="Arial"/>
      <family val="2"/>
    </font>
    <font>
      <vertAlign val="superscript"/>
      <sz val="10"/>
      <name val="Arial"/>
      <family val="2"/>
    </font>
    <font>
      <sz val="10"/>
      <color indexed="63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/>
      <right/>
      <top style="medium">
        <color indexed="55"/>
      </top>
      <bottom style="thin">
        <color indexed="55"/>
      </bottom>
      <diagonal/>
    </border>
    <border>
      <left/>
      <right/>
      <top style="thin">
        <color indexed="55"/>
      </top>
      <bottom style="medium">
        <color indexed="55"/>
      </bottom>
      <diagonal/>
    </border>
    <border>
      <left/>
      <right/>
      <top style="medium">
        <color indexed="23"/>
      </top>
      <bottom style="thin">
        <color indexed="23"/>
      </bottom>
      <diagonal/>
    </border>
    <border>
      <left/>
      <right/>
      <top style="thin">
        <color indexed="23"/>
      </top>
      <bottom style="medium">
        <color indexed="23"/>
      </bottom>
      <diagonal/>
    </border>
  </borders>
  <cellStyleXfs count="1">
    <xf numFmtId="0" fontId="0" fillId="0" borderId="0"/>
  </cellStyleXfs>
  <cellXfs count="74">
    <xf numFmtId="0" fontId="0" fillId="0" borderId="0" xfId="0"/>
    <xf numFmtId="11" fontId="0" fillId="0" borderId="0" xfId="0" applyNumberFormat="1"/>
    <xf numFmtId="0" fontId="0" fillId="2" borderId="0" xfId="0" applyFill="1"/>
    <xf numFmtId="0" fontId="0" fillId="3" borderId="0" xfId="0" applyFill="1"/>
    <xf numFmtId="2" fontId="0" fillId="0" borderId="0" xfId="0" applyNumberFormat="1"/>
    <xf numFmtId="167" fontId="0" fillId="0" borderId="0" xfId="0" applyNumberFormat="1"/>
    <xf numFmtId="0" fontId="0" fillId="4" borderId="0" xfId="0" applyFill="1"/>
    <xf numFmtId="11" fontId="0" fillId="2" borderId="0" xfId="0" applyNumberFormat="1" applyFill="1"/>
    <xf numFmtId="0" fontId="0" fillId="0" borderId="0" xfId="0" applyAlignment="1">
      <alignment horizontal="left"/>
    </xf>
    <xf numFmtId="0" fontId="0" fillId="5" borderId="0" xfId="0" applyFill="1"/>
    <xf numFmtId="0" fontId="0" fillId="5" borderId="0" xfId="0" applyFill="1" applyAlignment="1">
      <alignment horizontal="left"/>
    </xf>
    <xf numFmtId="0" fontId="4" fillId="0" borderId="0" xfId="0" applyFont="1"/>
    <xf numFmtId="0" fontId="5" fillId="0" borderId="0" xfId="0" applyFont="1"/>
    <xf numFmtId="0" fontId="0" fillId="0" borderId="1" xfId="0" applyBorder="1"/>
    <xf numFmtId="166" fontId="0" fillId="0" borderId="0" xfId="0" applyNumberFormat="1"/>
    <xf numFmtId="1" fontId="0" fillId="0" borderId="2" xfId="0" applyNumberFormat="1" applyBorder="1"/>
    <xf numFmtId="0" fontId="0" fillId="0" borderId="3" xfId="0" applyBorder="1"/>
    <xf numFmtId="11" fontId="0" fillId="0" borderId="4" xfId="0" applyNumberFormat="1" applyBorder="1"/>
    <xf numFmtId="2" fontId="0" fillId="0" borderId="4" xfId="0" applyNumberFormat="1" applyBorder="1"/>
    <xf numFmtId="0" fontId="0" fillId="0" borderId="4" xfId="0" applyBorder="1"/>
    <xf numFmtId="166" fontId="0" fillId="0" borderId="4" xfId="0" applyNumberFormat="1" applyBorder="1"/>
    <xf numFmtId="1" fontId="0" fillId="0" borderId="5" xfId="0" applyNumberFormat="1" applyBorder="1"/>
    <xf numFmtId="0" fontId="4" fillId="0" borderId="6" xfId="0" applyFont="1" applyBorder="1"/>
    <xf numFmtId="0" fontId="4" fillId="0" borderId="7" xfId="0" applyFont="1" applyBorder="1"/>
    <xf numFmtId="0" fontId="4" fillId="0" borderId="7" xfId="0" quotePrefix="1" applyFont="1" applyBorder="1"/>
    <xf numFmtId="0" fontId="4" fillId="0" borderId="8" xfId="0" applyFont="1" applyBorder="1"/>
    <xf numFmtId="166" fontId="0" fillId="0" borderId="1" xfId="0" applyNumberFormat="1" applyBorder="1"/>
    <xf numFmtId="11" fontId="0" fillId="0" borderId="2" xfId="0" applyNumberFormat="1" applyBorder="1"/>
    <xf numFmtId="166" fontId="0" fillId="0" borderId="3" xfId="0" applyNumberFormat="1" applyBorder="1"/>
    <xf numFmtId="165" fontId="0" fillId="0" borderId="0" xfId="0" applyNumberFormat="1"/>
    <xf numFmtId="1" fontId="0" fillId="0" borderId="0" xfId="0" applyNumberFormat="1"/>
    <xf numFmtId="0" fontId="1" fillId="0" borderId="0" xfId="0" applyFont="1"/>
    <xf numFmtId="0" fontId="0" fillId="0" borderId="0" xfId="0" applyAlignment="1">
      <alignment horizontal="center"/>
    </xf>
    <xf numFmtId="0" fontId="4" fillId="0" borderId="0" xfId="0" applyFont="1" applyAlignment="1">
      <alignment horizontal="left"/>
    </xf>
    <xf numFmtId="167" fontId="0" fillId="0" borderId="4" xfId="0" applyNumberFormat="1" applyBorder="1"/>
    <xf numFmtId="165" fontId="0" fillId="0" borderId="4" xfId="0" applyNumberFormat="1" applyBorder="1"/>
    <xf numFmtId="165" fontId="0" fillId="6" borderId="0" xfId="0" applyNumberFormat="1" applyFill="1"/>
    <xf numFmtId="0" fontId="4" fillId="6" borderId="0" xfId="0" applyFont="1" applyFill="1"/>
    <xf numFmtId="0" fontId="0" fillId="7" borderId="0" xfId="0" applyFill="1"/>
    <xf numFmtId="0" fontId="4" fillId="0" borderId="9" xfId="0" applyFont="1" applyBorder="1"/>
    <xf numFmtId="0" fontId="4" fillId="0" borderId="10" xfId="0" applyFont="1" applyBorder="1"/>
    <xf numFmtId="0" fontId="4" fillId="0" borderId="10" xfId="0" quotePrefix="1" applyFont="1" applyBorder="1"/>
    <xf numFmtId="0" fontId="4" fillId="6" borderId="10" xfId="0" applyFont="1" applyFill="1" applyBorder="1"/>
    <xf numFmtId="0" fontId="4" fillId="0" borderId="11" xfId="0" applyFont="1" applyBorder="1"/>
    <xf numFmtId="167" fontId="0" fillId="6" borderId="0" xfId="0" applyNumberFormat="1" applyFill="1"/>
    <xf numFmtId="165" fontId="0" fillId="7" borderId="0" xfId="0" applyNumberFormat="1" applyFill="1"/>
    <xf numFmtId="0" fontId="0" fillId="8" borderId="0" xfId="0" applyFill="1"/>
    <xf numFmtId="0" fontId="0" fillId="8" borderId="0" xfId="0" applyFill="1" applyAlignment="1">
      <alignment horizontal="left"/>
    </xf>
    <xf numFmtId="11" fontId="0" fillId="8" borderId="0" xfId="0" applyNumberFormat="1" applyFill="1"/>
    <xf numFmtId="2" fontId="0" fillId="8" borderId="0" xfId="0" applyNumberFormat="1" applyFill="1"/>
    <xf numFmtId="0" fontId="0" fillId="0" borderId="12" xfId="0" applyBorder="1"/>
    <xf numFmtId="0" fontId="0" fillId="0" borderId="13" xfId="0" applyBorder="1" applyAlignment="1">
      <alignment horizontal="left"/>
    </xf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4" xfId="0" applyBorder="1" applyAlignment="1">
      <alignment horizontal="left"/>
    </xf>
    <xf numFmtId="0" fontId="6" fillId="0" borderId="0" xfId="0" applyFont="1" applyAlignment="1">
      <alignment horizontal="left"/>
    </xf>
    <xf numFmtId="0" fontId="4" fillId="0" borderId="13" xfId="0" applyFont="1" applyBorder="1" applyAlignment="1">
      <alignment horizontal="right"/>
    </xf>
    <xf numFmtId="0" fontId="0" fillId="0" borderId="14" xfId="0" applyBorder="1" applyAlignment="1">
      <alignment horizontal="right"/>
    </xf>
    <xf numFmtId="2" fontId="0" fillId="0" borderId="12" xfId="0" applyNumberFormat="1" applyBorder="1"/>
    <xf numFmtId="0" fontId="0" fillId="0" borderId="0" xfId="0" quotePrefix="1"/>
    <xf numFmtId="164" fontId="0" fillId="2" borderId="0" xfId="0" applyNumberFormat="1" applyFill="1"/>
    <xf numFmtId="0" fontId="5" fillId="0" borderId="0" xfId="0" applyFont="1" applyAlignment="1">
      <alignment vertical="top" wrapText="1"/>
    </xf>
    <xf numFmtId="0" fontId="7" fillId="0" borderId="0" xfId="0" quotePrefix="1" applyFont="1" applyAlignment="1">
      <alignment vertical="top" wrapText="1"/>
    </xf>
    <xf numFmtId="0" fontId="8" fillId="0" borderId="0" xfId="0" quotePrefix="1" applyFont="1" applyAlignment="1">
      <alignment vertical="top" wrapText="1"/>
    </xf>
    <xf numFmtId="0" fontId="5" fillId="0" borderId="0" xfId="0" quotePrefix="1" applyFont="1" applyAlignment="1">
      <alignment vertical="top" wrapText="1"/>
    </xf>
    <xf numFmtId="0" fontId="10" fillId="0" borderId="0" xfId="0" applyFont="1" applyAlignment="1">
      <alignment vertical="top" wrapText="1"/>
    </xf>
    <xf numFmtId="0" fontId="2" fillId="0" borderId="0" xfId="0" applyFont="1"/>
    <xf numFmtId="0" fontId="2" fillId="0" borderId="0" xfId="0" quotePrefix="1" applyFont="1"/>
    <xf numFmtId="0" fontId="0" fillId="0" borderId="0" xfId="0" applyAlignment="1">
      <alignment horizontal="center"/>
    </xf>
    <xf numFmtId="0" fontId="0" fillId="0" borderId="12" xfId="0" applyBorder="1" applyAlignment="1">
      <alignment horizontal="left"/>
    </xf>
    <xf numFmtId="0" fontId="0" fillId="0" borderId="16" xfId="0" applyBorder="1" applyAlignment="1">
      <alignment horizontal="left"/>
    </xf>
    <xf numFmtId="0" fontId="0" fillId="0" borderId="15" xfId="0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572236333857074"/>
          <c:y val="9.5057034220532313E-2"/>
          <c:w val="0.7139125910243167"/>
          <c:h val="0.73003802281368824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diffusivity!$E$4:$E$6</c:f>
              <c:numCache>
                <c:formatCode>General</c:formatCode>
                <c:ptCount val="3"/>
                <c:pt idx="0">
                  <c:v>0.84024990236586128</c:v>
                </c:pt>
                <c:pt idx="1">
                  <c:v>0.9885589143706498</c:v>
                </c:pt>
                <c:pt idx="2">
                  <c:v>0.99845534519025425</c:v>
                </c:pt>
              </c:numCache>
            </c:numRef>
          </c:xVal>
          <c:yVal>
            <c:numRef>
              <c:f>diffusivity!$Z$4:$Z$6</c:f>
              <c:numCache>
                <c:formatCode>0.0E+00</c:formatCode>
                <c:ptCount val="3"/>
                <c:pt idx="0">
                  <c:v>1.9084188963725884E-3</c:v>
                </c:pt>
                <c:pt idx="1">
                  <c:v>2.1569436434322321E-3</c:v>
                </c:pt>
                <c:pt idx="2">
                  <c:v>6.7544458875804693E-6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DD6-4EE1-A3B4-41FD678F02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749272000"/>
        <c:axId val="-749271456"/>
      </c:scatterChart>
      <c:valAx>
        <c:axId val="-749272000"/>
        <c:scaling>
          <c:orientation val="minMax"/>
          <c:max val="1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Relative humidity</a:t>
                </a:r>
              </a:p>
            </c:rich>
          </c:tx>
          <c:layout>
            <c:manualLayout>
              <c:xMode val="edge"/>
              <c:yMode val="edge"/>
              <c:x val="0.4540693436942429"/>
              <c:y val="0.86311787072243351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749271456"/>
        <c:crosses val="autoZero"/>
        <c:crossBetween val="midCat"/>
      </c:valAx>
      <c:valAx>
        <c:axId val="-749271456"/>
        <c:scaling>
          <c:logBase val="10"/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Liquid permeability (kg/m.Pa.s)</a:t>
                </a:r>
              </a:p>
            </c:rich>
          </c:tx>
          <c:layout>
            <c:manualLayout>
              <c:xMode val="edge"/>
              <c:yMode val="edge"/>
              <c:x val="4.1994750656167978E-2"/>
              <c:y val="0.12927756653992395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74927200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6350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4150417827298"/>
          <c:y val="9.6525278499936848E-2"/>
          <c:w val="0.74651810584958223"/>
          <c:h val="0.66023290493956799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interface!$X$7:$X$19</c:f>
              <c:numCache>
                <c:formatCode>General</c:formatCode>
                <c:ptCount val="13"/>
                <c:pt idx="0">
                  <c:v>1E-3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0.99</c:v>
                </c:pt>
                <c:pt idx="11">
                  <c:v>0.99990000000000001</c:v>
                </c:pt>
                <c:pt idx="12">
                  <c:v>0.99999000000000005</c:v>
                </c:pt>
              </c:numCache>
            </c:numRef>
          </c:xVal>
          <c:yVal>
            <c:numRef>
              <c:f>interface!$AO$7:$AO$19</c:f>
              <c:numCache>
                <c:formatCode>0.000</c:formatCode>
                <c:ptCount val="13"/>
                <c:pt idx="0">
                  <c:v>6.0523737855448102E-2</c:v>
                </c:pt>
                <c:pt idx="1">
                  <c:v>6.0906630949634395E-2</c:v>
                </c:pt>
                <c:pt idx="2">
                  <c:v>6.1084223126770178E-2</c:v>
                </c:pt>
                <c:pt idx="3">
                  <c:v>6.1253366473492048E-2</c:v>
                </c:pt>
                <c:pt idx="4">
                  <c:v>6.143648598699996E-2</c:v>
                </c:pt>
                <c:pt idx="5">
                  <c:v>6.1651317898423243E-2</c:v>
                </c:pt>
                <c:pt idx="6">
                  <c:v>6.1923167429631415E-2</c:v>
                </c:pt>
                <c:pt idx="7">
                  <c:v>6.2300876904807644E-2</c:v>
                </c:pt>
                <c:pt idx="8">
                  <c:v>6.2907539834320653E-2</c:v>
                </c:pt>
                <c:pt idx="9">
                  <c:v>6.422571752584072E-2</c:v>
                </c:pt>
                <c:pt idx="10">
                  <c:v>7.7236261814442903E-2</c:v>
                </c:pt>
                <c:pt idx="11">
                  <c:v>0.51052546010195221</c:v>
                </c:pt>
                <c:pt idx="12">
                  <c:v>0.51057439651068037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C3-4C57-B2D6-CE24582776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749268736"/>
        <c:axId val="-749268192"/>
      </c:scatterChart>
      <c:valAx>
        <c:axId val="-749268736"/>
        <c:scaling>
          <c:orientation val="minMax"/>
          <c:max val="1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Relative humidity</a:t>
                </a:r>
              </a:p>
            </c:rich>
          </c:tx>
          <c:layout>
            <c:manualLayout>
              <c:xMode val="edge"/>
              <c:yMode val="edge"/>
              <c:x val="0.42339832869080779"/>
              <c:y val="0.8301174515347743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749268192"/>
        <c:crosses val="autoZero"/>
        <c:crossBetween val="midCat"/>
      </c:valAx>
      <c:valAx>
        <c:axId val="-749268192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GB" sz="8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Conductivity (W/m</a:t>
                </a:r>
                <a:r>
                  <a:rPr lang="en-GB" sz="800" b="1" i="0" u="none" strike="noStrike" baseline="30000">
                    <a:solidFill>
                      <a:srgbClr val="000000"/>
                    </a:solidFill>
                    <a:latin typeface="Arial"/>
                    <a:cs typeface="Arial"/>
                  </a:rPr>
                  <a:t>2</a:t>
                </a:r>
                <a:r>
                  <a:rPr lang="en-GB" sz="8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K)</a:t>
                </a:r>
              </a:p>
            </c:rich>
          </c:tx>
          <c:layout>
            <c:manualLayout>
              <c:xMode val="edge"/>
              <c:yMode val="edge"/>
              <c:x val="4.456824512534819E-2"/>
              <c:y val="0.19691160226593296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74926873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783117309227507"/>
          <c:y val="9.5420025159576941E-2"/>
          <c:w val="0.75132469236910027"/>
          <c:h val="0.66412337511065556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interface!$X$7:$X$19</c:f>
              <c:numCache>
                <c:formatCode>General</c:formatCode>
                <c:ptCount val="13"/>
                <c:pt idx="0">
                  <c:v>1E-3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0.99</c:v>
                </c:pt>
                <c:pt idx="11">
                  <c:v>0.99990000000000001</c:v>
                </c:pt>
                <c:pt idx="12">
                  <c:v>0.99999000000000005</c:v>
                </c:pt>
              </c:numCache>
            </c:numRef>
          </c:xVal>
          <c:yVal>
            <c:numRef>
              <c:f>interface!$AP$7:$AP$19</c:f>
              <c:numCache>
                <c:formatCode>0</c:formatCode>
                <c:ptCount val="13"/>
                <c:pt idx="0">
                  <c:v>1006.9104300371624</c:v>
                </c:pt>
                <c:pt idx="1">
                  <c:v>1011.9624916965651</c:v>
                </c:pt>
                <c:pt idx="2">
                  <c:v>1014.3057218115509</c:v>
                </c:pt>
                <c:pt idx="3">
                  <c:v>1016.5374743030201</c:v>
                </c:pt>
                <c:pt idx="4">
                  <c:v>1018.953634550694</c:v>
                </c:pt>
                <c:pt idx="5">
                  <c:v>1021.7882222708623</c:v>
                </c:pt>
                <c:pt idx="6">
                  <c:v>1025.3751258076368</c:v>
                </c:pt>
                <c:pt idx="7">
                  <c:v>1030.3587924939898</c:v>
                </c:pt>
                <c:pt idx="8">
                  <c:v>1038.363372813953</c:v>
                </c:pt>
                <c:pt idx="9">
                  <c:v>1055.7559951326207</c:v>
                </c:pt>
                <c:pt idx="10">
                  <c:v>1227.422898940566</c:v>
                </c:pt>
                <c:pt idx="11">
                  <c:v>6944.4331541229794</c:v>
                </c:pt>
                <c:pt idx="12">
                  <c:v>6945.0788428492551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EB-4C84-8ED8-5D87E4E53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749266560"/>
        <c:axId val="-749267104"/>
      </c:scatterChart>
      <c:valAx>
        <c:axId val="-749266560"/>
        <c:scaling>
          <c:orientation val="minMax"/>
          <c:max val="1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Relative humidity</a:t>
                </a:r>
              </a:p>
            </c:rich>
          </c:tx>
          <c:layout>
            <c:manualLayout>
              <c:xMode val="edge"/>
              <c:yMode val="edge"/>
              <c:x val="0.43121804218917081"/>
              <c:y val="0.832062671555368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749267104"/>
        <c:crosses val="autoZero"/>
        <c:crossBetween val="midCat"/>
      </c:valAx>
      <c:valAx>
        <c:axId val="-749267104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Thermal capacity (J/kg.K)</a:t>
                </a:r>
              </a:p>
            </c:rich>
          </c:tx>
          <c:layout>
            <c:manualLayout>
              <c:xMode val="edge"/>
              <c:yMode val="edge"/>
              <c:x val="4.2328042328042326E-2"/>
              <c:y val="0.1603057442247199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74926656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 horizontalDpi="200" verticalDpi="2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968087662181659"/>
          <c:y val="9.727626459143969E-2"/>
          <c:w val="0.74202224020092278"/>
          <c:h val="0.65758754863813229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interface!$X$7:$X$17</c:f>
              <c:numCache>
                <c:formatCode>General</c:formatCode>
                <c:ptCount val="11"/>
                <c:pt idx="0">
                  <c:v>1E-3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0.99</c:v>
                </c:pt>
              </c:numCache>
            </c:numRef>
          </c:xVal>
          <c:yVal>
            <c:numRef>
              <c:f>interface!$AG$7:$AG$17</c:f>
              <c:numCache>
                <c:formatCode>0.00</c:formatCode>
                <c:ptCount val="11"/>
                <c:pt idx="0">
                  <c:v>0.9352461704430427</c:v>
                </c:pt>
                <c:pt idx="1">
                  <c:v>1.6189838386328581</c:v>
                </c:pt>
                <c:pt idx="2">
                  <c:v>1.9361127263753191</c:v>
                </c:pt>
                <c:pt idx="3">
                  <c:v>2.2381544169500835</c:v>
                </c:pt>
                <c:pt idx="4">
                  <c:v>2.5651535482142229</c:v>
                </c:pt>
                <c:pt idx="5">
                  <c:v>2.9487819614700834</c:v>
                </c:pt>
                <c:pt idx="6">
                  <c:v>3.4342275529132418</c:v>
                </c:pt>
                <c:pt idx="7">
                  <c:v>4.108708758585081</c:v>
                </c:pt>
                <c:pt idx="8">
                  <c:v>5.1920354184297386</c:v>
                </c:pt>
                <c:pt idx="9">
                  <c:v>7.5459241532870136</c:v>
                </c:pt>
                <c:pt idx="10">
                  <c:v>30.779038954362321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CD-40C7-8535-0FE0A9CEE1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749263840"/>
        <c:axId val="-749266016"/>
      </c:scatterChart>
      <c:valAx>
        <c:axId val="-749263840"/>
        <c:scaling>
          <c:orientation val="minMax"/>
          <c:max val="1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Relative humidity</a:t>
                </a:r>
              </a:p>
            </c:rich>
          </c:tx>
          <c:layout>
            <c:manualLayout>
              <c:xMode val="edge"/>
              <c:yMode val="edge"/>
              <c:x val="0.42819204780253528"/>
              <c:y val="0.8365758754863813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749266016"/>
        <c:crosses val="autoZero"/>
        <c:crossBetween val="midCat"/>
      </c:valAx>
      <c:valAx>
        <c:axId val="-749266016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Moisture content (kg/m3)</a:t>
                </a:r>
              </a:p>
            </c:rich>
          </c:tx>
          <c:layout>
            <c:manualLayout>
              <c:xMode val="edge"/>
              <c:yMode val="edge"/>
              <c:x val="4.2553191489361701E-2"/>
              <c:y val="0.1439688715953307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74926384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567590751149112"/>
          <c:y val="9.6153846153846159E-2"/>
          <c:w val="0.754055049164708"/>
          <c:h val="0.66153846153846152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interface!$Z$7:$Z$19</c:f>
              <c:numCache>
                <c:formatCode>0.00</c:formatCode>
                <c:ptCount val="13"/>
                <c:pt idx="0">
                  <c:v>8.9711875661958427</c:v>
                </c:pt>
                <c:pt idx="1">
                  <c:v>8.4940663114761801</c:v>
                </c:pt>
                <c:pt idx="2">
                  <c:v>8.3385248502678362</c:v>
                </c:pt>
                <c:pt idx="3">
                  <c:v>8.2124672998442279</c:v>
                </c:pt>
                <c:pt idx="4">
                  <c:v>8.0938839165486822</c:v>
                </c:pt>
                <c:pt idx="5">
                  <c:v>7.9726760838218551</c:v>
                </c:pt>
                <c:pt idx="6">
                  <c:v>7.8401232967656389</c:v>
                </c:pt>
                <c:pt idx="7">
                  <c:v>7.6841232244297544</c:v>
                </c:pt>
                <c:pt idx="8">
                  <c:v>7.4804349633410228</c:v>
                </c:pt>
                <c:pt idx="9">
                  <c:v>7.1545285102695528</c:v>
                </c:pt>
                <c:pt idx="10">
                  <c:v>6.1340311976561379</c:v>
                </c:pt>
                <c:pt idx="11">
                  <c:v>4.1318723384055991</c:v>
                </c:pt>
                <c:pt idx="12">
                  <c:v>3.1318527942561976</c:v>
                </c:pt>
              </c:numCache>
            </c:numRef>
          </c:xVal>
          <c:yVal>
            <c:numRef>
              <c:f>interface!$AG$7:$AG$19</c:f>
              <c:numCache>
                <c:formatCode>0.00</c:formatCode>
                <c:ptCount val="13"/>
                <c:pt idx="0">
                  <c:v>0.9352461704430427</c:v>
                </c:pt>
                <c:pt idx="1">
                  <c:v>1.6189838386328581</c:v>
                </c:pt>
                <c:pt idx="2">
                  <c:v>1.9361127263753191</c:v>
                </c:pt>
                <c:pt idx="3">
                  <c:v>2.2381544169500835</c:v>
                </c:pt>
                <c:pt idx="4">
                  <c:v>2.5651535482142229</c:v>
                </c:pt>
                <c:pt idx="5">
                  <c:v>2.9487819614700834</c:v>
                </c:pt>
                <c:pt idx="6">
                  <c:v>3.4342275529132418</c:v>
                </c:pt>
                <c:pt idx="7">
                  <c:v>4.108708758585081</c:v>
                </c:pt>
                <c:pt idx="8">
                  <c:v>5.1920354184297386</c:v>
                </c:pt>
                <c:pt idx="9">
                  <c:v>7.5459241532870136</c:v>
                </c:pt>
                <c:pt idx="10">
                  <c:v>30.779038954362321</c:v>
                </c:pt>
                <c:pt idx="11">
                  <c:v>804.50975018205747</c:v>
                </c:pt>
                <c:pt idx="12">
                  <c:v>804.59713662621493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C1-4507-81DB-AA875C812A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749265472"/>
        <c:axId val="-749264928"/>
      </c:scatterChart>
      <c:valAx>
        <c:axId val="-749265472"/>
        <c:scaling>
          <c:orientation val="minMax"/>
          <c:max val="9"/>
          <c:min val="2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Log of capillary pressure (Pa)</a:t>
                </a:r>
              </a:p>
            </c:rich>
          </c:tx>
          <c:layout>
            <c:manualLayout>
              <c:xMode val="edge"/>
              <c:yMode val="edge"/>
              <c:x val="0.32432489182095481"/>
              <c:y val="0.83076923076923082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749264928"/>
        <c:crosses val="autoZero"/>
        <c:crossBetween val="midCat"/>
      </c:valAx>
      <c:valAx>
        <c:axId val="-749264928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Moisture content (kg/m3)</a:t>
                </a:r>
              </a:p>
            </c:rich>
          </c:tx>
          <c:layout>
            <c:manualLayout>
              <c:xMode val="edge"/>
              <c:yMode val="edge"/>
              <c:x val="4.3243243243243246E-2"/>
              <c:y val="0.1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74926547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255102040816324"/>
          <c:y val="9.5785799006970665E-2"/>
          <c:w val="0.68877551020408168"/>
          <c:h val="0.66283772912823702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interface!$X$7:$X$20</c:f>
              <c:numCache>
                <c:formatCode>General</c:formatCode>
                <c:ptCount val="14"/>
                <c:pt idx="0">
                  <c:v>1E-3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0.99</c:v>
                </c:pt>
                <c:pt idx="11">
                  <c:v>0.99990000000000001</c:v>
                </c:pt>
                <c:pt idx="12">
                  <c:v>0.99999000000000005</c:v>
                </c:pt>
                <c:pt idx="13">
                  <c:v>1</c:v>
                </c:pt>
              </c:numCache>
            </c:numRef>
          </c:xVal>
          <c:yVal>
            <c:numRef>
              <c:f>interface!$AX$7:$AX$20</c:f>
              <c:numCache>
                <c:formatCode>0.00E+00</c:formatCode>
                <c:ptCount val="14"/>
                <c:pt idx="0">
                  <c:v>3.4209263336713709E-11</c:v>
                </c:pt>
                <c:pt idx="1">
                  <c:v>3.4224963497821289E-11</c:v>
                </c:pt>
                <c:pt idx="2">
                  <c:v>3.4232247650282855E-11</c:v>
                </c:pt>
                <c:pt idx="3">
                  <c:v>3.4239186532235851E-11</c:v>
                </c:pt>
                <c:pt idx="4">
                  <c:v>3.4246700160715486E-11</c:v>
                </c:pt>
                <c:pt idx="5">
                  <c:v>3.4255516832429774E-11</c:v>
                </c:pt>
                <c:pt idx="6">
                  <c:v>3.4266676345705625E-11</c:v>
                </c:pt>
                <c:pt idx="7">
                  <c:v>3.4282186709718353E-11</c:v>
                </c:pt>
                <c:pt idx="8">
                  <c:v>3.4307111647989318E-11</c:v>
                </c:pt>
                <c:pt idx="9">
                  <c:v>3.4361323267663438E-11</c:v>
                </c:pt>
                <c:pt idx="10">
                  <c:v>3.4900164988999456E-11</c:v>
                </c:pt>
                <c:pt idx="11">
                  <c:v>1.6451755975947347E-11</c:v>
                </c:pt>
                <c:pt idx="12">
                  <c:v>1.6436927429493568E-11</c:v>
                </c:pt>
                <c:pt idx="13">
                  <c:v>1.643644148734682E-11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EFC-4754-9163-A78E9BE9BB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749263296"/>
        <c:axId val="-876476032"/>
      </c:scatterChart>
      <c:valAx>
        <c:axId val="-749263296"/>
        <c:scaling>
          <c:orientation val="minMax"/>
          <c:max val="1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Relative humidity</a:t>
                </a:r>
              </a:p>
            </c:rich>
          </c:tx>
          <c:layout>
            <c:manualLayout>
              <c:xMode val="edge"/>
              <c:yMode val="edge"/>
              <c:x val="0.46938775510204084"/>
              <c:y val="0.8314208425096287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876476032"/>
        <c:crosses val="autoZero"/>
        <c:crossBetween val="midCat"/>
      </c:valAx>
      <c:valAx>
        <c:axId val="-876476032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Vapour diffusion coefficient (kg/m.Pa.s)</a:t>
                </a:r>
              </a:p>
            </c:rich>
          </c:tx>
          <c:layout>
            <c:manualLayout>
              <c:xMode val="edge"/>
              <c:yMode val="edge"/>
              <c:x val="4.0816326530612242E-2"/>
              <c:y val="0.1264371838577649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7492632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754716981132076"/>
          <c:y val="0.12749003984063745"/>
          <c:w val="0.74123989218328845"/>
          <c:h val="0.70119521912350602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interface!$BQ$7:$BQ$206</c:f>
              <c:numCache>
                <c:formatCode>General</c:formatCode>
                <c:ptCount val="200"/>
                <c:pt idx="0">
                  <c:v>2.1</c:v>
                </c:pt>
                <c:pt idx="1">
                  <c:v>4</c:v>
                </c:pt>
                <c:pt idx="2">
                  <c:v>5</c:v>
                </c:pt>
                <c:pt idx="3">
                  <c:v>5.4</c:v>
                </c:pt>
                <c:pt idx="4">
                  <c:v>5.5</c:v>
                </c:pt>
                <c:pt idx="5">
                  <c:v>5.6</c:v>
                </c:pt>
                <c:pt idx="6">
                  <c:v>5.6</c:v>
                </c:pt>
                <c:pt idx="7">
                  <c:v>5.7</c:v>
                </c:pt>
                <c:pt idx="8">
                  <c:v>5.8</c:v>
                </c:pt>
                <c:pt idx="9">
                  <c:v>5.9</c:v>
                </c:pt>
                <c:pt idx="10">
                  <c:v>6</c:v>
                </c:pt>
                <c:pt idx="11">
                  <c:v>6.1</c:v>
                </c:pt>
                <c:pt idx="12">
                  <c:v>6.2</c:v>
                </c:pt>
                <c:pt idx="13">
                  <c:v>6.3</c:v>
                </c:pt>
                <c:pt idx="14">
                  <c:v>6.4</c:v>
                </c:pt>
                <c:pt idx="15">
                  <c:v>6.5</c:v>
                </c:pt>
                <c:pt idx="16">
                  <c:v>6.6</c:v>
                </c:pt>
                <c:pt idx="17">
                  <c:v>6.7</c:v>
                </c:pt>
                <c:pt idx="18">
                  <c:v>6.8</c:v>
                </c:pt>
                <c:pt idx="19">
                  <c:v>6.9</c:v>
                </c:pt>
                <c:pt idx="20">
                  <c:v>7</c:v>
                </c:pt>
                <c:pt idx="21">
                  <c:v>7.0599285099999998</c:v>
                </c:pt>
                <c:pt idx="22">
                  <c:v>7.6911308399999996</c:v>
                </c:pt>
                <c:pt idx="23">
                  <c:v>8.2194749199999997</c:v>
                </c:pt>
                <c:pt idx="24">
                  <c:v>8.2194749199999997</c:v>
                </c:pt>
                <c:pt idx="25">
                  <c:v>8.2194749199999997</c:v>
                </c:pt>
                <c:pt idx="26">
                  <c:v>8.2194749199999997</c:v>
                </c:pt>
                <c:pt idx="27">
                  <c:v>8.2194749199999997</c:v>
                </c:pt>
                <c:pt idx="28">
                  <c:v>8.2194749199999997</c:v>
                </c:pt>
                <c:pt idx="29">
                  <c:v>8.2194749199999997</c:v>
                </c:pt>
                <c:pt idx="30">
                  <c:v>8.2194749199999997</c:v>
                </c:pt>
                <c:pt idx="31">
                  <c:v>8.2194749199999997</c:v>
                </c:pt>
                <c:pt idx="32">
                  <c:v>8.2194749199999997</c:v>
                </c:pt>
                <c:pt idx="33">
                  <c:v>8.2194749199999997</c:v>
                </c:pt>
                <c:pt idx="34">
                  <c:v>8.2194749199999997</c:v>
                </c:pt>
                <c:pt idx="35">
                  <c:v>8.2194749199999997</c:v>
                </c:pt>
                <c:pt idx="36">
                  <c:v>8.2194749199999997</c:v>
                </c:pt>
                <c:pt idx="37">
                  <c:v>8.2194749199999997</c:v>
                </c:pt>
                <c:pt idx="38">
                  <c:v>8.2194749199999997</c:v>
                </c:pt>
                <c:pt idx="39">
                  <c:v>8.2194749199999997</c:v>
                </c:pt>
                <c:pt idx="40">
                  <c:v>8.2194749199999997</c:v>
                </c:pt>
                <c:pt idx="41">
                  <c:v>8.2194749199999997</c:v>
                </c:pt>
                <c:pt idx="42">
                  <c:v>8.2194749199999997</c:v>
                </c:pt>
                <c:pt idx="43">
                  <c:v>8.2194749199999997</c:v>
                </c:pt>
                <c:pt idx="44">
                  <c:v>8.2194749199999997</c:v>
                </c:pt>
                <c:pt idx="45">
                  <c:v>8.2194749199999997</c:v>
                </c:pt>
                <c:pt idx="46">
                  <c:v>8.2194749199999997</c:v>
                </c:pt>
                <c:pt idx="47">
                  <c:v>8.2194749199999997</c:v>
                </c:pt>
                <c:pt idx="48">
                  <c:v>8.2194749199999997</c:v>
                </c:pt>
                <c:pt idx="49">
                  <c:v>8.2194749199999997</c:v>
                </c:pt>
                <c:pt idx="50">
                  <c:v>8.2194749199999997</c:v>
                </c:pt>
                <c:pt idx="51">
                  <c:v>8.2194749199999997</c:v>
                </c:pt>
                <c:pt idx="52">
                  <c:v>8.2194749199999997</c:v>
                </c:pt>
                <c:pt idx="53">
                  <c:v>8.2194749199999997</c:v>
                </c:pt>
                <c:pt idx="54">
                  <c:v>8.2194749199999997</c:v>
                </c:pt>
                <c:pt idx="55">
                  <c:v>8.2194749199999997</c:v>
                </c:pt>
                <c:pt idx="56">
                  <c:v>8.2194749199999997</c:v>
                </c:pt>
                <c:pt idx="57">
                  <c:v>8.2194749199999997</c:v>
                </c:pt>
                <c:pt idx="58">
                  <c:v>8.2194749199999997</c:v>
                </c:pt>
                <c:pt idx="59">
                  <c:v>8.2194749199999997</c:v>
                </c:pt>
                <c:pt idx="60">
                  <c:v>8.2194749199999997</c:v>
                </c:pt>
                <c:pt idx="61">
                  <c:v>8.2194749199999997</c:v>
                </c:pt>
                <c:pt idx="62">
                  <c:v>8.2194749199999997</c:v>
                </c:pt>
                <c:pt idx="63">
                  <c:v>8.2194749199999997</c:v>
                </c:pt>
                <c:pt idx="64">
                  <c:v>8.2194749199999997</c:v>
                </c:pt>
                <c:pt idx="65">
                  <c:v>8.2194749199999997</c:v>
                </c:pt>
                <c:pt idx="66">
                  <c:v>8.2194749199999997</c:v>
                </c:pt>
                <c:pt idx="67">
                  <c:v>8.2194749199999997</c:v>
                </c:pt>
                <c:pt idx="68">
                  <c:v>8.2194749199999997</c:v>
                </c:pt>
                <c:pt idx="69">
                  <c:v>8.2194749199999997</c:v>
                </c:pt>
                <c:pt idx="70">
                  <c:v>8.2194749199999997</c:v>
                </c:pt>
                <c:pt idx="71">
                  <c:v>8.2194749199999997</c:v>
                </c:pt>
                <c:pt idx="72">
                  <c:v>8.2194749199999997</c:v>
                </c:pt>
                <c:pt idx="73">
                  <c:v>8.2194749199999997</c:v>
                </c:pt>
                <c:pt idx="74">
                  <c:v>8.2194749199999997</c:v>
                </c:pt>
                <c:pt idx="75">
                  <c:v>8.2194749199999997</c:v>
                </c:pt>
                <c:pt idx="76">
                  <c:v>8.2194749199999997</c:v>
                </c:pt>
                <c:pt idx="77">
                  <c:v>8.2194749199999997</c:v>
                </c:pt>
                <c:pt idx="78">
                  <c:v>8.2194749199999997</c:v>
                </c:pt>
                <c:pt idx="79">
                  <c:v>8.2194749199999997</c:v>
                </c:pt>
                <c:pt idx="80">
                  <c:v>8.2194749199999997</c:v>
                </c:pt>
                <c:pt idx="81">
                  <c:v>8.2194749199999997</c:v>
                </c:pt>
                <c:pt idx="82">
                  <c:v>8.2194749199999997</c:v>
                </c:pt>
                <c:pt idx="83">
                  <c:v>8.2194749199999997</c:v>
                </c:pt>
                <c:pt idx="84">
                  <c:v>8.2194749199999997</c:v>
                </c:pt>
                <c:pt idx="85">
                  <c:v>8.2194749199999997</c:v>
                </c:pt>
                <c:pt idx="86">
                  <c:v>8.2194749199999997</c:v>
                </c:pt>
                <c:pt idx="87">
                  <c:v>8.2194749199999997</c:v>
                </c:pt>
                <c:pt idx="88">
                  <c:v>8.2194749199999997</c:v>
                </c:pt>
                <c:pt idx="89">
                  <c:v>8.2194749199999997</c:v>
                </c:pt>
                <c:pt idx="90">
                  <c:v>8.2194749199999997</c:v>
                </c:pt>
                <c:pt idx="91">
                  <c:v>8.2194749199999997</c:v>
                </c:pt>
                <c:pt idx="92">
                  <c:v>8.2194749199999997</c:v>
                </c:pt>
                <c:pt idx="93">
                  <c:v>8.2194749199999997</c:v>
                </c:pt>
                <c:pt idx="94">
                  <c:v>8.2194749199999997</c:v>
                </c:pt>
                <c:pt idx="95">
                  <c:v>8.2194749199999997</c:v>
                </c:pt>
                <c:pt idx="96">
                  <c:v>8.2194749199999997</c:v>
                </c:pt>
                <c:pt idx="97">
                  <c:v>8.2194749199999997</c:v>
                </c:pt>
                <c:pt idx="98">
                  <c:v>8.2194749199999997</c:v>
                </c:pt>
                <c:pt idx="99">
                  <c:v>8.2194749199999997</c:v>
                </c:pt>
                <c:pt idx="100">
                  <c:v>8.2194749199999997</c:v>
                </c:pt>
                <c:pt idx="101">
                  <c:v>8.2194749199999997</c:v>
                </c:pt>
                <c:pt idx="102">
                  <c:v>8.2194749199999997</c:v>
                </c:pt>
                <c:pt idx="103">
                  <c:v>8.2194749199999997</c:v>
                </c:pt>
                <c:pt idx="104">
                  <c:v>8.2194749199999997</c:v>
                </c:pt>
                <c:pt idx="105">
                  <c:v>8.2194749199999997</c:v>
                </c:pt>
                <c:pt idx="106">
                  <c:v>8.2194749199999997</c:v>
                </c:pt>
                <c:pt idx="107">
                  <c:v>8.2194749199999997</c:v>
                </c:pt>
                <c:pt idx="108">
                  <c:v>8.2194749199999997</c:v>
                </c:pt>
                <c:pt idx="109">
                  <c:v>8.2194749199999997</c:v>
                </c:pt>
                <c:pt idx="110">
                  <c:v>8.2194749199999997</c:v>
                </c:pt>
                <c:pt idx="111">
                  <c:v>8.2194749199999997</c:v>
                </c:pt>
                <c:pt idx="112">
                  <c:v>8.2194749199999997</c:v>
                </c:pt>
                <c:pt idx="113">
                  <c:v>8.2194749199999997</c:v>
                </c:pt>
                <c:pt idx="114">
                  <c:v>8.2194749199999997</c:v>
                </c:pt>
                <c:pt idx="115">
                  <c:v>8.2194749199999997</c:v>
                </c:pt>
                <c:pt idx="116">
                  <c:v>8.2194749199999997</c:v>
                </c:pt>
                <c:pt idx="117">
                  <c:v>8.2194749199999997</c:v>
                </c:pt>
                <c:pt idx="118">
                  <c:v>8.2194749199999997</c:v>
                </c:pt>
                <c:pt idx="119">
                  <c:v>8.2194749199999997</c:v>
                </c:pt>
                <c:pt idx="120">
                  <c:v>8.2194749199999997</c:v>
                </c:pt>
                <c:pt idx="121">
                  <c:v>8.2194749199999997</c:v>
                </c:pt>
                <c:pt idx="122">
                  <c:v>8.2194749199999997</c:v>
                </c:pt>
                <c:pt idx="123">
                  <c:v>8.2194749199999997</c:v>
                </c:pt>
                <c:pt idx="124">
                  <c:v>8.2194749199999997</c:v>
                </c:pt>
                <c:pt idx="125">
                  <c:v>8.2194749199999997</c:v>
                </c:pt>
                <c:pt idx="126">
                  <c:v>8.2194749199999997</c:v>
                </c:pt>
                <c:pt idx="127">
                  <c:v>8.2194749199999997</c:v>
                </c:pt>
                <c:pt idx="128">
                  <c:v>8.2194749199999997</c:v>
                </c:pt>
                <c:pt idx="129">
                  <c:v>8.2194749199999997</c:v>
                </c:pt>
                <c:pt idx="130">
                  <c:v>8.2194749199999997</c:v>
                </c:pt>
                <c:pt idx="131">
                  <c:v>8.2194749199999997</c:v>
                </c:pt>
                <c:pt idx="132">
                  <c:v>8.2194749199999997</c:v>
                </c:pt>
                <c:pt idx="133">
                  <c:v>8.2194749199999997</c:v>
                </c:pt>
                <c:pt idx="134">
                  <c:v>8.2194749199999997</c:v>
                </c:pt>
                <c:pt idx="135">
                  <c:v>8.2194749199999997</c:v>
                </c:pt>
                <c:pt idx="136">
                  <c:v>8.2194749199999997</c:v>
                </c:pt>
                <c:pt idx="137">
                  <c:v>8.2194749199999997</c:v>
                </c:pt>
                <c:pt idx="138">
                  <c:v>8.2194749199999997</c:v>
                </c:pt>
                <c:pt idx="139">
                  <c:v>8.2194749199999997</c:v>
                </c:pt>
                <c:pt idx="140">
                  <c:v>8.2194749199999997</c:v>
                </c:pt>
                <c:pt idx="141">
                  <c:v>8.2194749199999997</c:v>
                </c:pt>
                <c:pt idx="142">
                  <c:v>8.2194749199999997</c:v>
                </c:pt>
                <c:pt idx="143">
                  <c:v>8.2194749199999997</c:v>
                </c:pt>
                <c:pt idx="144">
                  <c:v>8.2194749199999997</c:v>
                </c:pt>
                <c:pt idx="145">
                  <c:v>8.2194749199999997</c:v>
                </c:pt>
                <c:pt idx="146">
                  <c:v>8.2194749199999997</c:v>
                </c:pt>
                <c:pt idx="147">
                  <c:v>8.2194749199999997</c:v>
                </c:pt>
                <c:pt idx="148">
                  <c:v>8.2194749199999997</c:v>
                </c:pt>
                <c:pt idx="149">
                  <c:v>8.2194749199999997</c:v>
                </c:pt>
                <c:pt idx="150">
                  <c:v>8.2194749199999997</c:v>
                </c:pt>
                <c:pt idx="151">
                  <c:v>8.2194749199999997</c:v>
                </c:pt>
                <c:pt idx="152">
                  <c:v>8.2194749199999997</c:v>
                </c:pt>
                <c:pt idx="153">
                  <c:v>8.2194749199999997</c:v>
                </c:pt>
                <c:pt idx="154">
                  <c:v>8.2194749199999997</c:v>
                </c:pt>
                <c:pt idx="155">
                  <c:v>8.2194749199999997</c:v>
                </c:pt>
                <c:pt idx="156">
                  <c:v>8.2194749199999997</c:v>
                </c:pt>
                <c:pt idx="157">
                  <c:v>8.2194749199999997</c:v>
                </c:pt>
                <c:pt idx="158">
                  <c:v>8.2194749199999997</c:v>
                </c:pt>
                <c:pt idx="159">
                  <c:v>8.2194749199999997</c:v>
                </c:pt>
                <c:pt idx="160">
                  <c:v>8.2194749199999997</c:v>
                </c:pt>
                <c:pt idx="161">
                  <c:v>8.2194749199999997</c:v>
                </c:pt>
                <c:pt idx="162">
                  <c:v>8.2194749199999997</c:v>
                </c:pt>
                <c:pt idx="163">
                  <c:v>8.2194749199999997</c:v>
                </c:pt>
                <c:pt idx="164">
                  <c:v>8.2194749199999997</c:v>
                </c:pt>
                <c:pt idx="165">
                  <c:v>8.2194749199999997</c:v>
                </c:pt>
                <c:pt idx="166">
                  <c:v>8.2194749199999997</c:v>
                </c:pt>
                <c:pt idx="167">
                  <c:v>8.2194749199999997</c:v>
                </c:pt>
                <c:pt idx="168">
                  <c:v>8.2194749199999997</c:v>
                </c:pt>
                <c:pt idx="169">
                  <c:v>8.2194749199999997</c:v>
                </c:pt>
                <c:pt idx="170">
                  <c:v>8.2194749199999997</c:v>
                </c:pt>
                <c:pt idx="171">
                  <c:v>8.2194749199999997</c:v>
                </c:pt>
                <c:pt idx="172">
                  <c:v>8.2194749199999997</c:v>
                </c:pt>
                <c:pt idx="173">
                  <c:v>8.2194749199999997</c:v>
                </c:pt>
                <c:pt idx="174">
                  <c:v>8.2194749199999997</c:v>
                </c:pt>
                <c:pt idx="175">
                  <c:v>8.2194749199999997</c:v>
                </c:pt>
                <c:pt idx="176">
                  <c:v>8.2194749199999997</c:v>
                </c:pt>
                <c:pt idx="177">
                  <c:v>8.2194749199999997</c:v>
                </c:pt>
                <c:pt idx="178">
                  <c:v>8.2194749199999997</c:v>
                </c:pt>
                <c:pt idx="179">
                  <c:v>8.2194749199999997</c:v>
                </c:pt>
                <c:pt idx="180">
                  <c:v>8.2194749199999997</c:v>
                </c:pt>
                <c:pt idx="181">
                  <c:v>8.2194749199999997</c:v>
                </c:pt>
                <c:pt idx="182">
                  <c:v>8.2194749199999997</c:v>
                </c:pt>
                <c:pt idx="183">
                  <c:v>8.2194749199999997</c:v>
                </c:pt>
                <c:pt idx="184">
                  <c:v>8.2194749199999997</c:v>
                </c:pt>
                <c:pt idx="185">
                  <c:v>8.2194749199999997</c:v>
                </c:pt>
                <c:pt idx="186">
                  <c:v>8.2194749199999997</c:v>
                </c:pt>
                <c:pt idx="187">
                  <c:v>8.2194749199999997</c:v>
                </c:pt>
                <c:pt idx="188">
                  <c:v>8.2194749199999997</c:v>
                </c:pt>
                <c:pt idx="189">
                  <c:v>8.2194749199999997</c:v>
                </c:pt>
                <c:pt idx="190">
                  <c:v>8.2194749199999997</c:v>
                </c:pt>
                <c:pt idx="191">
                  <c:v>8.2194749199999997</c:v>
                </c:pt>
                <c:pt idx="192">
                  <c:v>8.2194749199999997</c:v>
                </c:pt>
                <c:pt idx="193">
                  <c:v>8.2194749199999997</c:v>
                </c:pt>
                <c:pt idx="194">
                  <c:v>8.2194749199999997</c:v>
                </c:pt>
                <c:pt idx="195">
                  <c:v>8.2194749199999997</c:v>
                </c:pt>
                <c:pt idx="196">
                  <c:v>8.2194749199999997</c:v>
                </c:pt>
                <c:pt idx="197">
                  <c:v>8.2194749199999997</c:v>
                </c:pt>
                <c:pt idx="198">
                  <c:v>8.2194749199999997</c:v>
                </c:pt>
                <c:pt idx="199">
                  <c:v>8.2194749199999997</c:v>
                </c:pt>
              </c:numCache>
            </c:numRef>
          </c:xVal>
          <c:yVal>
            <c:numRef>
              <c:f>interface!$BR$7:$BR$206</c:f>
              <c:numCache>
                <c:formatCode>General</c:formatCode>
                <c:ptCount val="200"/>
                <c:pt idx="0">
                  <c:v>-8.35</c:v>
                </c:pt>
                <c:pt idx="1">
                  <c:v>-8.35</c:v>
                </c:pt>
                <c:pt idx="2">
                  <c:v>-8.36</c:v>
                </c:pt>
                <c:pt idx="3">
                  <c:v>-8.36</c:v>
                </c:pt>
                <c:pt idx="4">
                  <c:v>-8.57</c:v>
                </c:pt>
                <c:pt idx="5">
                  <c:v>-9.25</c:v>
                </c:pt>
                <c:pt idx="6">
                  <c:v>-9.24565166</c:v>
                </c:pt>
                <c:pt idx="7">
                  <c:v>-9.9788107000000004</c:v>
                </c:pt>
                <c:pt idx="8">
                  <c:v>-10.53313238</c:v>
                </c:pt>
                <c:pt idx="9">
                  <c:v>-11.06298389</c:v>
                </c:pt>
                <c:pt idx="10">
                  <c:v>-11.5559552</c:v>
                </c:pt>
                <c:pt idx="11">
                  <c:v>-12.000869460000001</c:v>
                </c:pt>
                <c:pt idx="12">
                  <c:v>-12.38090667</c:v>
                </c:pt>
                <c:pt idx="13">
                  <c:v>-12.705533770000001</c:v>
                </c:pt>
                <c:pt idx="14">
                  <c:v>-12.991399830000001</c:v>
                </c:pt>
                <c:pt idx="15">
                  <c:v>-13.25649024</c:v>
                </c:pt>
                <c:pt idx="16">
                  <c:v>-13.50445566</c:v>
                </c:pt>
                <c:pt idx="17">
                  <c:v>-13.73992861</c:v>
                </c:pt>
                <c:pt idx="18">
                  <c:v>-13.96657624</c:v>
                </c:pt>
                <c:pt idx="19">
                  <c:v>-14.187755299999999</c:v>
                </c:pt>
                <c:pt idx="20">
                  <c:v>-14.401209489999999</c:v>
                </c:pt>
                <c:pt idx="21">
                  <c:v>-14.44838395</c:v>
                </c:pt>
                <c:pt idx="22">
                  <c:v>-15.3539636</c:v>
                </c:pt>
                <c:pt idx="23">
                  <c:v>-15.77711152</c:v>
                </c:pt>
                <c:pt idx="24">
                  <c:v>-15.77711152</c:v>
                </c:pt>
                <c:pt idx="25">
                  <c:v>-15.77711152</c:v>
                </c:pt>
                <c:pt idx="26">
                  <c:v>-15.77711152</c:v>
                </c:pt>
                <c:pt idx="27">
                  <c:v>-15.77711152</c:v>
                </c:pt>
                <c:pt idx="28">
                  <c:v>-15.77711152</c:v>
                </c:pt>
                <c:pt idx="29">
                  <c:v>-15.77711152</c:v>
                </c:pt>
                <c:pt idx="30">
                  <c:v>-15.77711152</c:v>
                </c:pt>
                <c:pt idx="31">
                  <c:v>-15.77711152</c:v>
                </c:pt>
                <c:pt idx="32">
                  <c:v>-15.77711152</c:v>
                </c:pt>
                <c:pt idx="33">
                  <c:v>-15.77711152</c:v>
                </c:pt>
                <c:pt idx="34">
                  <c:v>-15.77711152</c:v>
                </c:pt>
                <c:pt idx="35">
                  <c:v>-15.77711152</c:v>
                </c:pt>
                <c:pt idx="36">
                  <c:v>-15.77711152</c:v>
                </c:pt>
                <c:pt idx="37">
                  <c:v>-15.77711152</c:v>
                </c:pt>
                <c:pt idx="38">
                  <c:v>-15.77711152</c:v>
                </c:pt>
                <c:pt idx="39">
                  <c:v>-15.77711152</c:v>
                </c:pt>
                <c:pt idx="40">
                  <c:v>-15.77711152</c:v>
                </c:pt>
                <c:pt idx="41">
                  <c:v>-15.77711152</c:v>
                </c:pt>
                <c:pt idx="42">
                  <c:v>-15.77711152</c:v>
                </c:pt>
                <c:pt idx="43">
                  <c:v>-15.77711152</c:v>
                </c:pt>
                <c:pt idx="44">
                  <c:v>-15.77711152</c:v>
                </c:pt>
                <c:pt idx="45">
                  <c:v>-15.77711152</c:v>
                </c:pt>
                <c:pt idx="46">
                  <c:v>-15.77711152</c:v>
                </c:pt>
                <c:pt idx="47">
                  <c:v>-15.77711152</c:v>
                </c:pt>
                <c:pt idx="48">
                  <c:v>-15.77711152</c:v>
                </c:pt>
                <c:pt idx="49">
                  <c:v>-15.77711152</c:v>
                </c:pt>
                <c:pt idx="50">
                  <c:v>-15.77711152</c:v>
                </c:pt>
                <c:pt idx="51">
                  <c:v>-15.77711152</c:v>
                </c:pt>
                <c:pt idx="52">
                  <c:v>-15.77711152</c:v>
                </c:pt>
                <c:pt idx="53">
                  <c:v>-15.77711152</c:v>
                </c:pt>
                <c:pt idx="54">
                  <c:v>-15.77711152</c:v>
                </c:pt>
                <c:pt idx="55">
                  <c:v>-15.77711152</c:v>
                </c:pt>
                <c:pt idx="56">
                  <c:v>-15.77711152</c:v>
                </c:pt>
                <c:pt idx="57">
                  <c:v>-15.77711152</c:v>
                </c:pt>
                <c:pt idx="58">
                  <c:v>-15.77711152</c:v>
                </c:pt>
                <c:pt idx="59">
                  <c:v>-15.77711152</c:v>
                </c:pt>
                <c:pt idx="60">
                  <c:v>-15.77711152</c:v>
                </c:pt>
                <c:pt idx="61">
                  <c:v>-15.77711152</c:v>
                </c:pt>
                <c:pt idx="62">
                  <c:v>-15.77711152</c:v>
                </c:pt>
                <c:pt idx="63">
                  <c:v>-15.77711152</c:v>
                </c:pt>
                <c:pt idx="64">
                  <c:v>-15.77711152</c:v>
                </c:pt>
                <c:pt idx="65">
                  <c:v>-15.77711152</c:v>
                </c:pt>
                <c:pt idx="66">
                  <c:v>-15.77711152</c:v>
                </c:pt>
                <c:pt idx="67">
                  <c:v>-15.77711152</c:v>
                </c:pt>
                <c:pt idx="68">
                  <c:v>-15.77711152</c:v>
                </c:pt>
                <c:pt idx="69">
                  <c:v>-15.77711152</c:v>
                </c:pt>
                <c:pt idx="70">
                  <c:v>-15.77711152</c:v>
                </c:pt>
                <c:pt idx="71">
                  <c:v>-15.77711152</c:v>
                </c:pt>
                <c:pt idx="72">
                  <c:v>-15.77711152</c:v>
                </c:pt>
                <c:pt idx="73">
                  <c:v>-15.77711152</c:v>
                </c:pt>
                <c:pt idx="74">
                  <c:v>-15.77711152</c:v>
                </c:pt>
                <c:pt idx="75">
                  <c:v>-15.77711152</c:v>
                </c:pt>
                <c:pt idx="76">
                  <c:v>-15.77711152</c:v>
                </c:pt>
                <c:pt idx="77">
                  <c:v>-15.77711152</c:v>
                </c:pt>
                <c:pt idx="78">
                  <c:v>-15.77711152</c:v>
                </c:pt>
                <c:pt idx="79">
                  <c:v>-15.77711152</c:v>
                </c:pt>
                <c:pt idx="80">
                  <c:v>-15.77711152</c:v>
                </c:pt>
                <c:pt idx="81">
                  <c:v>-15.77711152</c:v>
                </c:pt>
                <c:pt idx="82">
                  <c:v>-15.77711152</c:v>
                </c:pt>
                <c:pt idx="83">
                  <c:v>-15.77711152</c:v>
                </c:pt>
                <c:pt idx="84">
                  <c:v>-15.77711152</c:v>
                </c:pt>
                <c:pt idx="85">
                  <c:v>-15.77711152</c:v>
                </c:pt>
                <c:pt idx="86">
                  <c:v>-15.77711152</c:v>
                </c:pt>
                <c:pt idx="87">
                  <c:v>-15.77711152</c:v>
                </c:pt>
                <c:pt idx="88">
                  <c:v>-15.77711152</c:v>
                </c:pt>
                <c:pt idx="89">
                  <c:v>-15.77711152</c:v>
                </c:pt>
                <c:pt idx="90">
                  <c:v>-15.77711152</c:v>
                </c:pt>
                <c:pt idx="91">
                  <c:v>-15.77711152</c:v>
                </c:pt>
                <c:pt idx="92">
                  <c:v>-15.77711152</c:v>
                </c:pt>
                <c:pt idx="93">
                  <c:v>-15.77711152</c:v>
                </c:pt>
                <c:pt idx="94">
                  <c:v>-15.77711152</c:v>
                </c:pt>
                <c:pt idx="95">
                  <c:v>-15.77711152</c:v>
                </c:pt>
                <c:pt idx="96">
                  <c:v>-15.77711152</c:v>
                </c:pt>
                <c:pt idx="97">
                  <c:v>-15.77711152</c:v>
                </c:pt>
                <c:pt idx="98">
                  <c:v>-15.77711152</c:v>
                </c:pt>
                <c:pt idx="99">
                  <c:v>-15.77711152</c:v>
                </c:pt>
                <c:pt idx="100">
                  <c:v>-15.77711152</c:v>
                </c:pt>
                <c:pt idx="101">
                  <c:v>-15.77711152</c:v>
                </c:pt>
                <c:pt idx="102">
                  <c:v>-15.77711152</c:v>
                </c:pt>
                <c:pt idx="103">
                  <c:v>-15.77711152</c:v>
                </c:pt>
                <c:pt idx="104">
                  <c:v>-15.77711152</c:v>
                </c:pt>
                <c:pt idx="105">
                  <c:v>-15.77711152</c:v>
                </c:pt>
                <c:pt idx="106">
                  <c:v>-15.77711152</c:v>
                </c:pt>
                <c:pt idx="107">
                  <c:v>-15.77711152</c:v>
                </c:pt>
                <c:pt idx="108">
                  <c:v>-15.77711152</c:v>
                </c:pt>
                <c:pt idx="109">
                  <c:v>-15.77711152</c:v>
                </c:pt>
                <c:pt idx="110">
                  <c:v>-15.77711152</c:v>
                </c:pt>
                <c:pt idx="111">
                  <c:v>-15.77711152</c:v>
                </c:pt>
                <c:pt idx="112">
                  <c:v>-15.77711152</c:v>
                </c:pt>
                <c:pt idx="113">
                  <c:v>-15.77711152</c:v>
                </c:pt>
                <c:pt idx="114">
                  <c:v>-15.77711152</c:v>
                </c:pt>
                <c:pt idx="115">
                  <c:v>-15.77711152</c:v>
                </c:pt>
                <c:pt idx="116">
                  <c:v>-15.77711152</c:v>
                </c:pt>
                <c:pt idx="117">
                  <c:v>-15.77711152</c:v>
                </c:pt>
                <c:pt idx="118">
                  <c:v>-15.77711152</c:v>
                </c:pt>
                <c:pt idx="119">
                  <c:v>-15.77711152</c:v>
                </c:pt>
                <c:pt idx="120">
                  <c:v>-15.77711152</c:v>
                </c:pt>
                <c:pt idx="121">
                  <c:v>-15.77711152</c:v>
                </c:pt>
                <c:pt idx="122">
                  <c:v>-15.77711152</c:v>
                </c:pt>
                <c:pt idx="123">
                  <c:v>-15.77711152</c:v>
                </c:pt>
                <c:pt idx="124">
                  <c:v>-15.77711152</c:v>
                </c:pt>
                <c:pt idx="125">
                  <c:v>-15.77711152</c:v>
                </c:pt>
                <c:pt idx="126">
                  <c:v>-15.77711152</c:v>
                </c:pt>
                <c:pt idx="127">
                  <c:v>-15.77711152</c:v>
                </c:pt>
                <c:pt idx="128">
                  <c:v>-15.77711152</c:v>
                </c:pt>
                <c:pt idx="129">
                  <c:v>-15.77711152</c:v>
                </c:pt>
                <c:pt idx="130">
                  <c:v>-15.77711152</c:v>
                </c:pt>
                <c:pt idx="131">
                  <c:v>-15.77711152</c:v>
                </c:pt>
                <c:pt idx="132">
                  <c:v>-15.77711152</c:v>
                </c:pt>
                <c:pt idx="133">
                  <c:v>-15.77711152</c:v>
                </c:pt>
                <c:pt idx="134">
                  <c:v>-15.77711152</c:v>
                </c:pt>
                <c:pt idx="135">
                  <c:v>-15.77711152</c:v>
                </c:pt>
                <c:pt idx="136">
                  <c:v>-15.77711152</c:v>
                </c:pt>
                <c:pt idx="137">
                  <c:v>-15.77711152</c:v>
                </c:pt>
                <c:pt idx="138">
                  <c:v>-15.77711152</c:v>
                </c:pt>
                <c:pt idx="139">
                  <c:v>-15.77711152</c:v>
                </c:pt>
                <c:pt idx="140">
                  <c:v>-15.77711152</c:v>
                </c:pt>
                <c:pt idx="141">
                  <c:v>-15.77711152</c:v>
                </c:pt>
                <c:pt idx="142">
                  <c:v>-15.77711152</c:v>
                </c:pt>
                <c:pt idx="143">
                  <c:v>-15.77711152</c:v>
                </c:pt>
                <c:pt idx="144">
                  <c:v>-15.77711152</c:v>
                </c:pt>
                <c:pt idx="145">
                  <c:v>-15.77711152</c:v>
                </c:pt>
                <c:pt idx="146">
                  <c:v>-15.77711152</c:v>
                </c:pt>
                <c:pt idx="147">
                  <c:v>-15.77711152</c:v>
                </c:pt>
                <c:pt idx="148">
                  <c:v>-15.77711152</c:v>
                </c:pt>
                <c:pt idx="149">
                  <c:v>-15.77711152</c:v>
                </c:pt>
                <c:pt idx="150">
                  <c:v>-15.77711152</c:v>
                </c:pt>
                <c:pt idx="151">
                  <c:v>-15.77711152</c:v>
                </c:pt>
                <c:pt idx="152">
                  <c:v>-15.77711152</c:v>
                </c:pt>
                <c:pt idx="153">
                  <c:v>-15.77711152</c:v>
                </c:pt>
                <c:pt idx="154">
                  <c:v>-15.77711152</c:v>
                </c:pt>
                <c:pt idx="155">
                  <c:v>-15.77711152</c:v>
                </c:pt>
                <c:pt idx="156">
                  <c:v>-15.77711152</c:v>
                </c:pt>
                <c:pt idx="157">
                  <c:v>-15.77711152</c:v>
                </c:pt>
                <c:pt idx="158">
                  <c:v>-15.77711152</c:v>
                </c:pt>
                <c:pt idx="159">
                  <c:v>-15.77711152</c:v>
                </c:pt>
                <c:pt idx="160">
                  <c:v>-15.77711152</c:v>
                </c:pt>
                <c:pt idx="161">
                  <c:v>-15.77711152</c:v>
                </c:pt>
                <c:pt idx="162">
                  <c:v>-15.77711152</c:v>
                </c:pt>
                <c:pt idx="163">
                  <c:v>-15.77711152</c:v>
                </c:pt>
                <c:pt idx="164">
                  <c:v>-15.77711152</c:v>
                </c:pt>
                <c:pt idx="165">
                  <c:v>-15.77711152</c:v>
                </c:pt>
                <c:pt idx="166">
                  <c:v>-15.77711152</c:v>
                </c:pt>
                <c:pt idx="167">
                  <c:v>-15.77711152</c:v>
                </c:pt>
                <c:pt idx="168">
                  <c:v>-15.77711152</c:v>
                </c:pt>
                <c:pt idx="169">
                  <c:v>-15.77711152</c:v>
                </c:pt>
                <c:pt idx="170">
                  <c:v>-15.77711152</c:v>
                </c:pt>
                <c:pt idx="171">
                  <c:v>-15.77711152</c:v>
                </c:pt>
                <c:pt idx="172">
                  <c:v>-15.77711152</c:v>
                </c:pt>
                <c:pt idx="173">
                  <c:v>-15.77711152</c:v>
                </c:pt>
                <c:pt idx="174">
                  <c:v>-15.77711152</c:v>
                </c:pt>
                <c:pt idx="175">
                  <c:v>-15.77711152</c:v>
                </c:pt>
                <c:pt idx="176">
                  <c:v>-15.77711152</c:v>
                </c:pt>
                <c:pt idx="177">
                  <c:v>-15.77711152</c:v>
                </c:pt>
                <c:pt idx="178">
                  <c:v>-15.77711152</c:v>
                </c:pt>
                <c:pt idx="179">
                  <c:v>-15.77711152</c:v>
                </c:pt>
                <c:pt idx="180">
                  <c:v>-15.77711152</c:v>
                </c:pt>
                <c:pt idx="181">
                  <c:v>-15.77711152</c:v>
                </c:pt>
                <c:pt idx="182">
                  <c:v>-15.77711152</c:v>
                </c:pt>
                <c:pt idx="183">
                  <c:v>-15.77711152</c:v>
                </c:pt>
                <c:pt idx="184">
                  <c:v>-15.77711152</c:v>
                </c:pt>
                <c:pt idx="185">
                  <c:v>-15.77711152</c:v>
                </c:pt>
                <c:pt idx="186">
                  <c:v>-15.77711152</c:v>
                </c:pt>
                <c:pt idx="187">
                  <c:v>-15.77711152</c:v>
                </c:pt>
                <c:pt idx="188">
                  <c:v>-15.77711152</c:v>
                </c:pt>
                <c:pt idx="189">
                  <c:v>-15.77711152</c:v>
                </c:pt>
                <c:pt idx="190">
                  <c:v>-15.77711152</c:v>
                </c:pt>
                <c:pt idx="191">
                  <c:v>-15.77711152</c:v>
                </c:pt>
                <c:pt idx="192">
                  <c:v>-15.77711152</c:v>
                </c:pt>
                <c:pt idx="193">
                  <c:v>-15.77711152</c:v>
                </c:pt>
                <c:pt idx="194">
                  <c:v>-15.77711152</c:v>
                </c:pt>
                <c:pt idx="195">
                  <c:v>-15.77711152</c:v>
                </c:pt>
                <c:pt idx="196">
                  <c:v>-15.77711152</c:v>
                </c:pt>
                <c:pt idx="197">
                  <c:v>-15.77711152</c:v>
                </c:pt>
                <c:pt idx="198">
                  <c:v>-15.77711152</c:v>
                </c:pt>
                <c:pt idx="199">
                  <c:v>-15.77711152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27-45F8-ABAB-1DF5EFD670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876485280"/>
        <c:axId val="-605186640"/>
      </c:scatterChart>
      <c:valAx>
        <c:axId val="-876485280"/>
        <c:scaling>
          <c:orientation val="minMax"/>
          <c:max val="9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Log of capillary pressure (Pa)</a:t>
                </a:r>
              </a:p>
            </c:rich>
          </c:tx>
          <c:layout>
            <c:manualLayout>
              <c:xMode val="edge"/>
              <c:yMode val="edge"/>
              <c:x val="0.35309973045822102"/>
              <c:y val="0.8685258964143426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high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605186640"/>
        <c:crosses val="autoZero"/>
        <c:crossBetween val="midCat"/>
      </c:valAx>
      <c:valAx>
        <c:axId val="-605186640"/>
        <c:scaling>
          <c:orientation val="minMax"/>
          <c:max val="0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Log of liquid permeability</a:t>
                </a:r>
              </a:p>
            </c:rich>
          </c:tx>
          <c:layout>
            <c:manualLayout>
              <c:xMode val="edge"/>
              <c:yMode val="edge"/>
              <c:x val="8.0862533692722366E-2"/>
              <c:y val="0.1912350597609561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87648528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631578947368422"/>
          <c:y val="9.727626459143969E-2"/>
          <c:w val="0.7131578947368421"/>
          <c:h val="0.65758754863813229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interface!$BT$7:$BT$206</c:f>
              <c:numCache>
                <c:formatCode>0.00</c:formatCode>
                <c:ptCount val="200"/>
                <c:pt idx="0">
                  <c:v>0.99999907071446859</c:v>
                </c:pt>
                <c:pt idx="1">
                  <c:v>0.99992618691644741</c:v>
                </c:pt>
                <c:pt idx="2">
                  <c:v>0.99926211429292999</c:v>
                </c:pt>
                <c:pt idx="3">
                  <c:v>0.99814754864764443</c:v>
                </c:pt>
                <c:pt idx="4">
                  <c:v>0.99766846146615495</c:v>
                </c:pt>
                <c:pt idx="5">
                  <c:v>0.99706565339412112</c:v>
                </c:pt>
                <c:pt idx="6">
                  <c:v>0.99706565339412112</c:v>
                </c:pt>
                <c:pt idx="7">
                  <c:v>0.99630728086423948</c:v>
                </c:pt>
                <c:pt idx="8">
                  <c:v>0.9953533665487545</c:v>
                </c:pt>
                <c:pt idx="9">
                  <c:v>0.99415375813454232</c:v>
                </c:pt>
                <c:pt idx="10">
                  <c:v>0.99264559616948456</c:v>
                </c:pt>
                <c:pt idx="11">
                  <c:v>0.99075018554702388</c:v>
                </c:pt>
                <c:pt idx="12">
                  <c:v>0.98836915027220162</c:v>
                </c:pt>
                <c:pt idx="13">
                  <c:v>0.98537973930293465</c:v>
                </c:pt>
                <c:pt idx="14">
                  <c:v>0.98162914704511839</c:v>
                </c:pt>
                <c:pt idx="15">
                  <c:v>0.97692772315762821</c:v>
                </c:pt>
                <c:pt idx="16">
                  <c:v>0.97104098510158643</c:v>
                </c:pt>
                <c:pt idx="17">
                  <c:v>0.96368043282854532</c:v>
                </c:pt>
                <c:pt idx="18">
                  <c:v>0.95449332778252816</c:v>
                </c:pt>
                <c:pt idx="19">
                  <c:v>0.94305188150264729</c:v>
                </c:pt>
                <c:pt idx="20">
                  <c:v>0.92884276361090323</c:v>
                </c:pt>
                <c:pt idx="21">
                  <c:v>0.91875302391994318</c:v>
                </c:pt>
                <c:pt idx="22">
                  <c:v>0.69595045834973768</c:v>
                </c:pt>
                <c:pt idx="23">
                  <c:v>0.29418182304666912</c:v>
                </c:pt>
                <c:pt idx="24">
                  <c:v>0.29418182304666912</c:v>
                </c:pt>
                <c:pt idx="25">
                  <c:v>0.29418182304666912</c:v>
                </c:pt>
                <c:pt idx="26">
                  <c:v>0.29418182304666912</c:v>
                </c:pt>
                <c:pt idx="27">
                  <c:v>0.29418182304666912</c:v>
                </c:pt>
                <c:pt idx="28">
                  <c:v>0.29418182304666912</c:v>
                </c:pt>
                <c:pt idx="29">
                  <c:v>0.29418182304666912</c:v>
                </c:pt>
                <c:pt idx="30">
                  <c:v>0.29418182304666912</c:v>
                </c:pt>
                <c:pt idx="31">
                  <c:v>0.29418182304666912</c:v>
                </c:pt>
                <c:pt idx="32">
                  <c:v>0.29418182304666912</c:v>
                </c:pt>
                <c:pt idx="33">
                  <c:v>0.29418182304666912</c:v>
                </c:pt>
                <c:pt idx="34">
                  <c:v>0.29418182304666912</c:v>
                </c:pt>
                <c:pt idx="35">
                  <c:v>0.29418182304666912</c:v>
                </c:pt>
                <c:pt idx="36">
                  <c:v>0.29418182304666912</c:v>
                </c:pt>
                <c:pt idx="37">
                  <c:v>0.29418182304666912</c:v>
                </c:pt>
                <c:pt idx="38">
                  <c:v>0.29418182304666912</c:v>
                </c:pt>
                <c:pt idx="39">
                  <c:v>0.29418182304666912</c:v>
                </c:pt>
                <c:pt idx="40">
                  <c:v>0.29418182304666912</c:v>
                </c:pt>
                <c:pt idx="41">
                  <c:v>0.29418182304666912</c:v>
                </c:pt>
                <c:pt idx="42">
                  <c:v>0.29418182304666912</c:v>
                </c:pt>
                <c:pt idx="43">
                  <c:v>0.29418182304666912</c:v>
                </c:pt>
                <c:pt idx="44">
                  <c:v>0.29418182304666912</c:v>
                </c:pt>
                <c:pt idx="45">
                  <c:v>0.29418182304666912</c:v>
                </c:pt>
                <c:pt idx="46">
                  <c:v>0.29418182304666912</c:v>
                </c:pt>
                <c:pt idx="47">
                  <c:v>0.29418182304666912</c:v>
                </c:pt>
                <c:pt idx="48">
                  <c:v>0.29418182304666912</c:v>
                </c:pt>
                <c:pt idx="49">
                  <c:v>0.29418182304666912</c:v>
                </c:pt>
                <c:pt idx="50">
                  <c:v>0.29418182304666912</c:v>
                </c:pt>
                <c:pt idx="51">
                  <c:v>0.29418182304666912</c:v>
                </c:pt>
                <c:pt idx="52">
                  <c:v>0.29418182304666912</c:v>
                </c:pt>
                <c:pt idx="53">
                  <c:v>0.29418182304666912</c:v>
                </c:pt>
                <c:pt idx="54">
                  <c:v>0.29418182304666912</c:v>
                </c:pt>
                <c:pt idx="55">
                  <c:v>0.29418182304666912</c:v>
                </c:pt>
                <c:pt idx="56">
                  <c:v>0.29418182304666912</c:v>
                </c:pt>
                <c:pt idx="57">
                  <c:v>0.29418182304666912</c:v>
                </c:pt>
                <c:pt idx="58">
                  <c:v>0.29418182304666912</c:v>
                </c:pt>
                <c:pt idx="59">
                  <c:v>0.29418182304666912</c:v>
                </c:pt>
                <c:pt idx="60">
                  <c:v>0.29418182304666912</c:v>
                </c:pt>
                <c:pt idx="61">
                  <c:v>0.29418182304666912</c:v>
                </c:pt>
                <c:pt idx="62">
                  <c:v>0.29418182304666912</c:v>
                </c:pt>
                <c:pt idx="63">
                  <c:v>0.29418182304666912</c:v>
                </c:pt>
                <c:pt idx="64">
                  <c:v>0.29418182304666912</c:v>
                </c:pt>
                <c:pt idx="65">
                  <c:v>0.29418182304666912</c:v>
                </c:pt>
                <c:pt idx="66">
                  <c:v>0.29418182304666912</c:v>
                </c:pt>
                <c:pt idx="67">
                  <c:v>0.29418182304666912</c:v>
                </c:pt>
                <c:pt idx="68">
                  <c:v>0.29418182304666912</c:v>
                </c:pt>
                <c:pt idx="69">
                  <c:v>0.29418182304666912</c:v>
                </c:pt>
                <c:pt idx="70">
                  <c:v>0.29418182304666912</c:v>
                </c:pt>
                <c:pt idx="71">
                  <c:v>0.29418182304666912</c:v>
                </c:pt>
                <c:pt idx="72">
                  <c:v>0.29418182304666912</c:v>
                </c:pt>
                <c:pt idx="73">
                  <c:v>0.29418182304666912</c:v>
                </c:pt>
                <c:pt idx="74">
                  <c:v>0.29418182304666912</c:v>
                </c:pt>
                <c:pt idx="75">
                  <c:v>0.29418182304666912</c:v>
                </c:pt>
                <c:pt idx="76">
                  <c:v>0.29418182304666912</c:v>
                </c:pt>
                <c:pt idx="77">
                  <c:v>0.29418182304666912</c:v>
                </c:pt>
                <c:pt idx="78">
                  <c:v>0.29418182304666912</c:v>
                </c:pt>
                <c:pt idx="79">
                  <c:v>0.29418182304666912</c:v>
                </c:pt>
                <c:pt idx="80">
                  <c:v>0.29418182304666912</c:v>
                </c:pt>
                <c:pt idx="81">
                  <c:v>0.29418182304666912</c:v>
                </c:pt>
                <c:pt idx="82">
                  <c:v>0.29418182304666912</c:v>
                </c:pt>
                <c:pt idx="83">
                  <c:v>0.29418182304666912</c:v>
                </c:pt>
                <c:pt idx="84">
                  <c:v>0.29418182304666912</c:v>
                </c:pt>
                <c:pt idx="85">
                  <c:v>0.29418182304666912</c:v>
                </c:pt>
                <c:pt idx="86">
                  <c:v>0.29418182304666912</c:v>
                </c:pt>
                <c:pt idx="87">
                  <c:v>0.29418182304666912</c:v>
                </c:pt>
                <c:pt idx="88">
                  <c:v>0.29418182304666912</c:v>
                </c:pt>
                <c:pt idx="89">
                  <c:v>0.29418182304666912</c:v>
                </c:pt>
                <c:pt idx="90">
                  <c:v>0.29418182304666912</c:v>
                </c:pt>
                <c:pt idx="91">
                  <c:v>0.29418182304666912</c:v>
                </c:pt>
                <c:pt idx="92">
                  <c:v>0.29418182304666912</c:v>
                </c:pt>
                <c:pt idx="93">
                  <c:v>0.29418182304666912</c:v>
                </c:pt>
                <c:pt idx="94">
                  <c:v>0.29418182304666912</c:v>
                </c:pt>
                <c:pt idx="95">
                  <c:v>0.29418182304666912</c:v>
                </c:pt>
                <c:pt idx="96">
                  <c:v>0.29418182304666912</c:v>
                </c:pt>
                <c:pt idx="97">
                  <c:v>0.29418182304666912</c:v>
                </c:pt>
                <c:pt idx="98">
                  <c:v>0.29418182304666912</c:v>
                </c:pt>
                <c:pt idx="99">
                  <c:v>0.29418182304666912</c:v>
                </c:pt>
                <c:pt idx="100">
                  <c:v>0.29418182304666912</c:v>
                </c:pt>
                <c:pt idx="101">
                  <c:v>0.29418182304666912</c:v>
                </c:pt>
                <c:pt idx="102">
                  <c:v>0.29418182304666912</c:v>
                </c:pt>
                <c:pt idx="103">
                  <c:v>0.29418182304666912</c:v>
                </c:pt>
                <c:pt idx="104">
                  <c:v>0.29418182304666912</c:v>
                </c:pt>
                <c:pt idx="105">
                  <c:v>0.29418182304666912</c:v>
                </c:pt>
                <c:pt idx="106">
                  <c:v>0.29418182304666912</c:v>
                </c:pt>
                <c:pt idx="107">
                  <c:v>0.29418182304666912</c:v>
                </c:pt>
                <c:pt idx="108">
                  <c:v>0.29418182304666912</c:v>
                </c:pt>
                <c:pt idx="109">
                  <c:v>0.29418182304666912</c:v>
                </c:pt>
                <c:pt idx="110">
                  <c:v>0.29418182304666912</c:v>
                </c:pt>
                <c:pt idx="111">
                  <c:v>0.29418182304666912</c:v>
                </c:pt>
                <c:pt idx="112">
                  <c:v>0.29418182304666912</c:v>
                </c:pt>
                <c:pt idx="113">
                  <c:v>0.29418182304666912</c:v>
                </c:pt>
                <c:pt idx="114">
                  <c:v>0.29418182304666912</c:v>
                </c:pt>
                <c:pt idx="115">
                  <c:v>0.29418182304666912</c:v>
                </c:pt>
                <c:pt idx="116">
                  <c:v>0.29418182304666912</c:v>
                </c:pt>
                <c:pt idx="117">
                  <c:v>0.29418182304666912</c:v>
                </c:pt>
                <c:pt idx="118">
                  <c:v>0.29418182304666912</c:v>
                </c:pt>
                <c:pt idx="119">
                  <c:v>0.29418182304666912</c:v>
                </c:pt>
                <c:pt idx="120">
                  <c:v>0.29418182304666912</c:v>
                </c:pt>
                <c:pt idx="121">
                  <c:v>0.29418182304666912</c:v>
                </c:pt>
                <c:pt idx="122">
                  <c:v>0.29418182304666912</c:v>
                </c:pt>
                <c:pt idx="123">
                  <c:v>0.29418182304666912</c:v>
                </c:pt>
                <c:pt idx="124">
                  <c:v>0.29418182304666912</c:v>
                </c:pt>
                <c:pt idx="125">
                  <c:v>0.29418182304666912</c:v>
                </c:pt>
                <c:pt idx="126">
                  <c:v>0.29418182304666912</c:v>
                </c:pt>
                <c:pt idx="127">
                  <c:v>0.29418182304666912</c:v>
                </c:pt>
                <c:pt idx="128">
                  <c:v>0.29418182304666912</c:v>
                </c:pt>
                <c:pt idx="129">
                  <c:v>0.29418182304666912</c:v>
                </c:pt>
                <c:pt idx="130">
                  <c:v>0.29418182304666912</c:v>
                </c:pt>
                <c:pt idx="131">
                  <c:v>0.29418182304666912</c:v>
                </c:pt>
                <c:pt idx="132">
                  <c:v>0.29418182304666912</c:v>
                </c:pt>
                <c:pt idx="133">
                  <c:v>0.29418182304666912</c:v>
                </c:pt>
                <c:pt idx="134">
                  <c:v>0.29418182304666912</c:v>
                </c:pt>
                <c:pt idx="135">
                  <c:v>0.29418182304666912</c:v>
                </c:pt>
                <c:pt idx="136">
                  <c:v>0.29418182304666912</c:v>
                </c:pt>
                <c:pt idx="137">
                  <c:v>0.29418182304666912</c:v>
                </c:pt>
                <c:pt idx="138">
                  <c:v>0.29418182304666912</c:v>
                </c:pt>
                <c:pt idx="139">
                  <c:v>0.29418182304666912</c:v>
                </c:pt>
                <c:pt idx="140">
                  <c:v>0.29418182304666912</c:v>
                </c:pt>
                <c:pt idx="141">
                  <c:v>0.29418182304666912</c:v>
                </c:pt>
                <c:pt idx="142">
                  <c:v>0.29418182304666912</c:v>
                </c:pt>
                <c:pt idx="143">
                  <c:v>0.29418182304666912</c:v>
                </c:pt>
                <c:pt idx="144">
                  <c:v>0.29418182304666912</c:v>
                </c:pt>
                <c:pt idx="145">
                  <c:v>0.29418182304666912</c:v>
                </c:pt>
                <c:pt idx="146">
                  <c:v>0.29418182304666912</c:v>
                </c:pt>
                <c:pt idx="147">
                  <c:v>0.29418182304666912</c:v>
                </c:pt>
                <c:pt idx="148">
                  <c:v>0.29418182304666912</c:v>
                </c:pt>
                <c:pt idx="149">
                  <c:v>0.29418182304666912</c:v>
                </c:pt>
                <c:pt idx="150">
                  <c:v>0.29418182304666912</c:v>
                </c:pt>
                <c:pt idx="151">
                  <c:v>0.29418182304666912</c:v>
                </c:pt>
                <c:pt idx="152">
                  <c:v>0.29418182304666912</c:v>
                </c:pt>
                <c:pt idx="153">
                  <c:v>0.29418182304666912</c:v>
                </c:pt>
                <c:pt idx="154">
                  <c:v>0.29418182304666912</c:v>
                </c:pt>
                <c:pt idx="155">
                  <c:v>0.29418182304666912</c:v>
                </c:pt>
                <c:pt idx="156">
                  <c:v>0.29418182304666912</c:v>
                </c:pt>
                <c:pt idx="157">
                  <c:v>0.29418182304666912</c:v>
                </c:pt>
                <c:pt idx="158">
                  <c:v>0.29418182304666912</c:v>
                </c:pt>
                <c:pt idx="159">
                  <c:v>0.29418182304666912</c:v>
                </c:pt>
                <c:pt idx="160">
                  <c:v>0.29418182304666912</c:v>
                </c:pt>
                <c:pt idx="161">
                  <c:v>0.29418182304666912</c:v>
                </c:pt>
                <c:pt idx="162">
                  <c:v>0.29418182304666912</c:v>
                </c:pt>
                <c:pt idx="163">
                  <c:v>0.29418182304666912</c:v>
                </c:pt>
                <c:pt idx="164">
                  <c:v>0.29418182304666912</c:v>
                </c:pt>
                <c:pt idx="165">
                  <c:v>0.29418182304666912</c:v>
                </c:pt>
                <c:pt idx="166">
                  <c:v>0.29418182304666912</c:v>
                </c:pt>
                <c:pt idx="167">
                  <c:v>0.29418182304666912</c:v>
                </c:pt>
                <c:pt idx="168">
                  <c:v>0.29418182304666912</c:v>
                </c:pt>
                <c:pt idx="169">
                  <c:v>0.29418182304666912</c:v>
                </c:pt>
                <c:pt idx="170">
                  <c:v>0.29418182304666912</c:v>
                </c:pt>
                <c:pt idx="171">
                  <c:v>0.29418182304666912</c:v>
                </c:pt>
                <c:pt idx="172">
                  <c:v>0.29418182304666912</c:v>
                </c:pt>
                <c:pt idx="173">
                  <c:v>0.29418182304666912</c:v>
                </c:pt>
                <c:pt idx="174">
                  <c:v>0.29418182304666912</c:v>
                </c:pt>
                <c:pt idx="175">
                  <c:v>0.29418182304666912</c:v>
                </c:pt>
                <c:pt idx="176">
                  <c:v>0.29418182304666912</c:v>
                </c:pt>
                <c:pt idx="177">
                  <c:v>0.29418182304666912</c:v>
                </c:pt>
                <c:pt idx="178">
                  <c:v>0.29418182304666912</c:v>
                </c:pt>
                <c:pt idx="179">
                  <c:v>0.29418182304666912</c:v>
                </c:pt>
                <c:pt idx="180">
                  <c:v>0.29418182304666912</c:v>
                </c:pt>
                <c:pt idx="181">
                  <c:v>0.29418182304666912</c:v>
                </c:pt>
                <c:pt idx="182">
                  <c:v>0.29418182304666912</c:v>
                </c:pt>
                <c:pt idx="183">
                  <c:v>0.29418182304666912</c:v>
                </c:pt>
                <c:pt idx="184">
                  <c:v>0.29418182304666912</c:v>
                </c:pt>
                <c:pt idx="185">
                  <c:v>0.29418182304666912</c:v>
                </c:pt>
                <c:pt idx="186">
                  <c:v>0.29418182304666912</c:v>
                </c:pt>
                <c:pt idx="187">
                  <c:v>0.29418182304666912</c:v>
                </c:pt>
                <c:pt idx="188">
                  <c:v>0.29418182304666912</c:v>
                </c:pt>
                <c:pt idx="189">
                  <c:v>0.29418182304666912</c:v>
                </c:pt>
                <c:pt idx="190">
                  <c:v>0.29418182304666912</c:v>
                </c:pt>
                <c:pt idx="191">
                  <c:v>0.29418182304666912</c:v>
                </c:pt>
                <c:pt idx="192">
                  <c:v>0.29418182304666912</c:v>
                </c:pt>
                <c:pt idx="193">
                  <c:v>0.29418182304666912</c:v>
                </c:pt>
                <c:pt idx="194">
                  <c:v>0.29418182304666912</c:v>
                </c:pt>
                <c:pt idx="195">
                  <c:v>0.29418182304666912</c:v>
                </c:pt>
                <c:pt idx="196">
                  <c:v>0.29418182304666912</c:v>
                </c:pt>
                <c:pt idx="197">
                  <c:v>0.29418182304666912</c:v>
                </c:pt>
                <c:pt idx="198">
                  <c:v>0.29418182304666912</c:v>
                </c:pt>
                <c:pt idx="199">
                  <c:v>0.29418182304666912</c:v>
                </c:pt>
              </c:numCache>
            </c:numRef>
          </c:xVal>
          <c:yVal>
            <c:numRef>
              <c:f>interface!$BS$7:$BS$206</c:f>
              <c:numCache>
                <c:formatCode>General</c:formatCode>
                <c:ptCount val="200"/>
                <c:pt idx="0">
                  <c:v>4.4668359215096219E-9</c:v>
                </c:pt>
                <c:pt idx="1">
                  <c:v>4.4668359215096219E-9</c:v>
                </c:pt>
                <c:pt idx="2">
                  <c:v>4.3651583224016521E-9</c:v>
                </c:pt>
                <c:pt idx="3">
                  <c:v>4.3651583224016521E-9</c:v>
                </c:pt>
                <c:pt idx="4">
                  <c:v>2.6915348039269064E-9</c:v>
                </c:pt>
                <c:pt idx="5">
                  <c:v>5.6234132519034889E-10</c:v>
                </c:pt>
                <c:pt idx="6">
                  <c:v>5.6800000560942224E-10</c:v>
                </c:pt>
                <c:pt idx="7">
                  <c:v>1.0500000022486208E-10</c:v>
                </c:pt>
                <c:pt idx="8">
                  <c:v>2.9299999976109665E-11</c:v>
                </c:pt>
                <c:pt idx="9">
                  <c:v>8.6500000504941779E-12</c:v>
                </c:pt>
                <c:pt idx="10">
                  <c:v>2.7800000261291535E-12</c:v>
                </c:pt>
                <c:pt idx="11">
                  <c:v>9.9799999704164245E-13</c:v>
                </c:pt>
                <c:pt idx="12">
                  <c:v>4.1599999939965766E-13</c:v>
                </c:pt>
                <c:pt idx="13">
                  <c:v>1.9700000174113587E-13</c:v>
                </c:pt>
                <c:pt idx="14">
                  <c:v>1.0199999958618925E-13</c:v>
                </c:pt>
                <c:pt idx="15">
                  <c:v>5.5399999396826131E-14</c:v>
                </c:pt>
                <c:pt idx="16">
                  <c:v>3.1300000176829606E-14</c:v>
                </c:pt>
                <c:pt idx="17">
                  <c:v>1.8200000084439536E-14</c:v>
                </c:pt>
                <c:pt idx="18">
                  <c:v>1.0800000112230153E-14</c:v>
                </c:pt>
                <c:pt idx="19">
                  <c:v>6.4900000478145494E-15</c:v>
                </c:pt>
                <c:pt idx="20">
                  <c:v>3.9700000295892041E-15</c:v>
                </c:pt>
                <c:pt idx="21">
                  <c:v>3.5613614224160432E-15</c:v>
                </c:pt>
                <c:pt idx="22">
                  <c:v>4.4262546906215915E-16</c:v>
                </c:pt>
                <c:pt idx="23">
                  <c:v>1.6706615595841093E-16</c:v>
                </c:pt>
                <c:pt idx="24">
                  <c:v>1.6706615595841093E-16</c:v>
                </c:pt>
                <c:pt idx="25">
                  <c:v>1.6706615595841093E-16</c:v>
                </c:pt>
                <c:pt idx="26">
                  <c:v>1.6706615595841093E-16</c:v>
                </c:pt>
                <c:pt idx="27">
                  <c:v>1.6706615595841093E-16</c:v>
                </c:pt>
                <c:pt idx="28">
                  <c:v>1.6706615595841093E-16</c:v>
                </c:pt>
                <c:pt idx="29">
                  <c:v>1.6706615595841093E-16</c:v>
                </c:pt>
                <c:pt idx="30">
                  <c:v>1.6706615595841093E-16</c:v>
                </c:pt>
                <c:pt idx="31">
                  <c:v>1.6706615595841093E-16</c:v>
                </c:pt>
                <c:pt idx="32">
                  <c:v>1.6706615595841093E-16</c:v>
                </c:pt>
                <c:pt idx="33">
                  <c:v>1.6706615595841093E-16</c:v>
                </c:pt>
                <c:pt idx="34">
                  <c:v>1.6706615595841093E-16</c:v>
                </c:pt>
                <c:pt idx="35">
                  <c:v>1.6706615595841093E-16</c:v>
                </c:pt>
                <c:pt idx="36">
                  <c:v>1.6706615595841093E-16</c:v>
                </c:pt>
                <c:pt idx="37">
                  <c:v>1.6706615595841093E-16</c:v>
                </c:pt>
                <c:pt idx="38">
                  <c:v>1.6706615595841093E-16</c:v>
                </c:pt>
                <c:pt idx="39">
                  <c:v>1.6706615595841093E-16</c:v>
                </c:pt>
                <c:pt idx="40">
                  <c:v>1.6706615595841093E-16</c:v>
                </c:pt>
                <c:pt idx="41">
                  <c:v>1.6706615595841093E-16</c:v>
                </c:pt>
                <c:pt idx="42">
                  <c:v>1.6706615595841093E-16</c:v>
                </c:pt>
                <c:pt idx="43">
                  <c:v>1.6706615595841093E-16</c:v>
                </c:pt>
                <c:pt idx="44">
                  <c:v>1.6706615595841093E-16</c:v>
                </c:pt>
                <c:pt idx="45">
                  <c:v>1.6706615595841093E-16</c:v>
                </c:pt>
                <c:pt idx="46">
                  <c:v>1.6706615595841093E-16</c:v>
                </c:pt>
                <c:pt idx="47">
                  <c:v>1.6706615595841093E-16</c:v>
                </c:pt>
                <c:pt idx="48">
                  <c:v>1.6706615595841093E-16</c:v>
                </c:pt>
                <c:pt idx="49">
                  <c:v>1.6706615595841093E-16</c:v>
                </c:pt>
                <c:pt idx="50">
                  <c:v>1.6706615595841093E-16</c:v>
                </c:pt>
                <c:pt idx="51">
                  <c:v>1.6706615595841093E-16</c:v>
                </c:pt>
                <c:pt idx="52">
                  <c:v>1.6706615595841093E-16</c:v>
                </c:pt>
                <c:pt idx="53">
                  <c:v>1.6706615595841093E-16</c:v>
                </c:pt>
                <c:pt idx="54">
                  <c:v>1.6706615595841093E-16</c:v>
                </c:pt>
                <c:pt idx="55">
                  <c:v>1.6706615595841093E-16</c:v>
                </c:pt>
                <c:pt idx="56">
                  <c:v>1.6706615595841093E-16</c:v>
                </c:pt>
                <c:pt idx="57">
                  <c:v>1.6706615595841093E-16</c:v>
                </c:pt>
                <c:pt idx="58">
                  <c:v>1.6706615595841093E-16</c:v>
                </c:pt>
                <c:pt idx="59">
                  <c:v>1.6706615595841093E-16</c:v>
                </c:pt>
                <c:pt idx="60">
                  <c:v>1.6706615595841093E-16</c:v>
                </c:pt>
                <c:pt idx="61">
                  <c:v>1.6706615595841093E-16</c:v>
                </c:pt>
                <c:pt idx="62">
                  <c:v>1.6706615595841093E-16</c:v>
                </c:pt>
                <c:pt idx="63">
                  <c:v>1.6706615595841093E-16</c:v>
                </c:pt>
                <c:pt idx="64">
                  <c:v>1.6706615595841093E-16</c:v>
                </c:pt>
                <c:pt idx="65">
                  <c:v>1.6706615595841093E-16</c:v>
                </c:pt>
                <c:pt idx="66">
                  <c:v>1.6706615595841093E-16</c:v>
                </c:pt>
                <c:pt idx="67">
                  <c:v>1.6706615595841093E-16</c:v>
                </c:pt>
                <c:pt idx="68">
                  <c:v>1.6706615595841093E-16</c:v>
                </c:pt>
                <c:pt idx="69">
                  <c:v>1.6706615595841093E-16</c:v>
                </c:pt>
                <c:pt idx="70">
                  <c:v>1.6706615595841093E-16</c:v>
                </c:pt>
                <c:pt idx="71">
                  <c:v>1.6706615595841093E-16</c:v>
                </c:pt>
                <c:pt idx="72">
                  <c:v>1.6706615595841093E-16</c:v>
                </c:pt>
                <c:pt idx="73">
                  <c:v>1.6706615595841093E-16</c:v>
                </c:pt>
                <c:pt idx="74">
                  <c:v>1.6706615595841093E-16</c:v>
                </c:pt>
                <c:pt idx="75">
                  <c:v>1.6706615595841093E-16</c:v>
                </c:pt>
                <c:pt idx="76">
                  <c:v>1.6706615595841093E-16</c:v>
                </c:pt>
                <c:pt idx="77">
                  <c:v>1.6706615595841093E-16</c:v>
                </c:pt>
                <c:pt idx="78">
                  <c:v>1.6706615595841093E-16</c:v>
                </c:pt>
                <c:pt idx="79">
                  <c:v>1.6706615595841093E-16</c:v>
                </c:pt>
                <c:pt idx="80">
                  <c:v>1.6706615595841093E-16</c:v>
                </c:pt>
                <c:pt idx="81">
                  <c:v>1.6706615595841093E-16</c:v>
                </c:pt>
                <c:pt idx="82">
                  <c:v>1.6706615595841093E-16</c:v>
                </c:pt>
                <c:pt idx="83">
                  <c:v>1.6706615595841093E-16</c:v>
                </c:pt>
                <c:pt idx="84">
                  <c:v>1.6706615595841093E-16</c:v>
                </c:pt>
                <c:pt idx="85">
                  <c:v>1.6706615595841093E-16</c:v>
                </c:pt>
                <c:pt idx="86">
                  <c:v>1.6706615595841093E-16</c:v>
                </c:pt>
                <c:pt idx="87">
                  <c:v>1.6706615595841093E-16</c:v>
                </c:pt>
                <c:pt idx="88">
                  <c:v>1.6706615595841093E-16</c:v>
                </c:pt>
                <c:pt idx="89">
                  <c:v>1.6706615595841093E-16</c:v>
                </c:pt>
                <c:pt idx="90">
                  <c:v>1.6706615595841093E-16</c:v>
                </c:pt>
                <c:pt idx="91">
                  <c:v>1.6706615595841093E-16</c:v>
                </c:pt>
                <c:pt idx="92">
                  <c:v>1.6706615595841093E-16</c:v>
                </c:pt>
                <c:pt idx="93">
                  <c:v>1.6706615595841093E-16</c:v>
                </c:pt>
                <c:pt idx="94">
                  <c:v>1.6706615595841093E-16</c:v>
                </c:pt>
                <c:pt idx="95">
                  <c:v>1.6706615595841093E-16</c:v>
                </c:pt>
                <c:pt idx="96">
                  <c:v>1.6706615595841093E-16</c:v>
                </c:pt>
                <c:pt idx="97">
                  <c:v>1.6706615595841093E-16</c:v>
                </c:pt>
                <c:pt idx="98">
                  <c:v>1.6706615595841093E-16</c:v>
                </c:pt>
                <c:pt idx="99">
                  <c:v>1.6706615595841093E-16</c:v>
                </c:pt>
                <c:pt idx="100">
                  <c:v>1.6706615595841093E-16</c:v>
                </c:pt>
                <c:pt idx="101">
                  <c:v>1.6706615595841093E-16</c:v>
                </c:pt>
                <c:pt idx="102">
                  <c:v>1.6706615595841093E-16</c:v>
                </c:pt>
                <c:pt idx="103">
                  <c:v>1.6706615595841093E-16</c:v>
                </c:pt>
                <c:pt idx="104">
                  <c:v>1.6706615595841093E-16</c:v>
                </c:pt>
                <c:pt idx="105">
                  <c:v>1.6706615595841093E-16</c:v>
                </c:pt>
                <c:pt idx="106">
                  <c:v>1.6706615595841093E-16</c:v>
                </c:pt>
                <c:pt idx="107">
                  <c:v>1.6706615595841093E-16</c:v>
                </c:pt>
                <c:pt idx="108">
                  <c:v>1.6706615595841093E-16</c:v>
                </c:pt>
                <c:pt idx="109">
                  <c:v>1.6706615595841093E-16</c:v>
                </c:pt>
                <c:pt idx="110">
                  <c:v>1.6706615595841093E-16</c:v>
                </c:pt>
                <c:pt idx="111">
                  <c:v>1.6706615595841093E-16</c:v>
                </c:pt>
                <c:pt idx="112">
                  <c:v>1.6706615595841093E-16</c:v>
                </c:pt>
                <c:pt idx="113">
                  <c:v>1.6706615595841093E-16</c:v>
                </c:pt>
                <c:pt idx="114">
                  <c:v>1.6706615595841093E-16</c:v>
                </c:pt>
                <c:pt idx="115">
                  <c:v>1.6706615595841093E-16</c:v>
                </c:pt>
                <c:pt idx="116">
                  <c:v>1.6706615595841093E-16</c:v>
                </c:pt>
                <c:pt idx="117">
                  <c:v>1.6706615595841093E-16</c:v>
                </c:pt>
                <c:pt idx="118">
                  <c:v>1.6706615595841093E-16</c:v>
                </c:pt>
                <c:pt idx="119">
                  <c:v>1.6706615595841093E-16</c:v>
                </c:pt>
                <c:pt idx="120">
                  <c:v>1.6706615595841093E-16</c:v>
                </c:pt>
                <c:pt idx="121">
                  <c:v>1.6706615595841093E-16</c:v>
                </c:pt>
                <c:pt idx="122">
                  <c:v>1.6706615595841093E-16</c:v>
                </c:pt>
                <c:pt idx="123">
                  <c:v>1.6706615595841093E-16</c:v>
                </c:pt>
                <c:pt idx="124">
                  <c:v>1.6706615595841093E-16</c:v>
                </c:pt>
                <c:pt idx="125">
                  <c:v>1.6706615595841093E-16</c:v>
                </c:pt>
                <c:pt idx="126">
                  <c:v>1.6706615595841093E-16</c:v>
                </c:pt>
                <c:pt idx="127">
                  <c:v>1.6706615595841093E-16</c:v>
                </c:pt>
                <c:pt idx="128">
                  <c:v>1.6706615595841093E-16</c:v>
                </c:pt>
                <c:pt idx="129">
                  <c:v>1.6706615595841093E-16</c:v>
                </c:pt>
                <c:pt idx="130">
                  <c:v>1.6706615595841093E-16</c:v>
                </c:pt>
                <c:pt idx="131">
                  <c:v>1.6706615595841093E-16</c:v>
                </c:pt>
                <c:pt idx="132">
                  <c:v>1.6706615595841093E-16</c:v>
                </c:pt>
                <c:pt idx="133">
                  <c:v>1.6706615595841093E-16</c:v>
                </c:pt>
                <c:pt idx="134">
                  <c:v>1.6706615595841093E-16</c:v>
                </c:pt>
                <c:pt idx="135">
                  <c:v>1.6706615595841093E-16</c:v>
                </c:pt>
                <c:pt idx="136">
                  <c:v>1.6706615595841093E-16</c:v>
                </c:pt>
                <c:pt idx="137">
                  <c:v>1.6706615595841093E-16</c:v>
                </c:pt>
                <c:pt idx="138">
                  <c:v>1.6706615595841093E-16</c:v>
                </c:pt>
                <c:pt idx="139">
                  <c:v>1.6706615595841093E-16</c:v>
                </c:pt>
                <c:pt idx="140">
                  <c:v>1.6706615595841093E-16</c:v>
                </c:pt>
                <c:pt idx="141">
                  <c:v>1.6706615595841093E-16</c:v>
                </c:pt>
                <c:pt idx="142">
                  <c:v>1.6706615595841093E-16</c:v>
                </c:pt>
                <c:pt idx="143">
                  <c:v>1.6706615595841093E-16</c:v>
                </c:pt>
                <c:pt idx="144">
                  <c:v>1.6706615595841093E-16</c:v>
                </c:pt>
                <c:pt idx="145">
                  <c:v>1.6706615595841093E-16</c:v>
                </c:pt>
                <c:pt idx="146">
                  <c:v>1.6706615595841093E-16</c:v>
                </c:pt>
                <c:pt idx="147">
                  <c:v>1.6706615595841093E-16</c:v>
                </c:pt>
                <c:pt idx="148">
                  <c:v>1.6706615595841093E-16</c:v>
                </c:pt>
                <c:pt idx="149">
                  <c:v>1.6706615595841093E-16</c:v>
                </c:pt>
                <c:pt idx="150">
                  <c:v>1.6706615595841093E-16</c:v>
                </c:pt>
                <c:pt idx="151">
                  <c:v>1.6706615595841093E-16</c:v>
                </c:pt>
                <c:pt idx="152">
                  <c:v>1.6706615595841093E-16</c:v>
                </c:pt>
                <c:pt idx="153">
                  <c:v>1.6706615595841093E-16</c:v>
                </c:pt>
                <c:pt idx="154">
                  <c:v>1.6706615595841093E-16</c:v>
                </c:pt>
                <c:pt idx="155">
                  <c:v>1.6706615595841093E-16</c:v>
                </c:pt>
                <c:pt idx="156">
                  <c:v>1.6706615595841093E-16</c:v>
                </c:pt>
                <c:pt idx="157">
                  <c:v>1.6706615595841093E-16</c:v>
                </c:pt>
                <c:pt idx="158">
                  <c:v>1.6706615595841093E-16</c:v>
                </c:pt>
                <c:pt idx="159">
                  <c:v>1.6706615595841093E-16</c:v>
                </c:pt>
                <c:pt idx="160">
                  <c:v>1.6706615595841093E-16</c:v>
                </c:pt>
                <c:pt idx="161">
                  <c:v>1.6706615595841093E-16</c:v>
                </c:pt>
                <c:pt idx="162">
                  <c:v>1.6706615595841093E-16</c:v>
                </c:pt>
                <c:pt idx="163">
                  <c:v>1.6706615595841093E-16</c:v>
                </c:pt>
                <c:pt idx="164">
                  <c:v>1.6706615595841093E-16</c:v>
                </c:pt>
                <c:pt idx="165">
                  <c:v>1.6706615595841093E-16</c:v>
                </c:pt>
                <c:pt idx="166">
                  <c:v>1.6706615595841093E-16</c:v>
                </c:pt>
                <c:pt idx="167">
                  <c:v>1.6706615595841093E-16</c:v>
                </c:pt>
                <c:pt idx="168">
                  <c:v>1.6706615595841093E-16</c:v>
                </c:pt>
                <c:pt idx="169">
                  <c:v>1.6706615595841093E-16</c:v>
                </c:pt>
                <c:pt idx="170">
                  <c:v>1.6706615595841093E-16</c:v>
                </c:pt>
                <c:pt idx="171">
                  <c:v>1.6706615595841093E-16</c:v>
                </c:pt>
                <c:pt idx="172">
                  <c:v>1.6706615595841093E-16</c:v>
                </c:pt>
                <c:pt idx="173">
                  <c:v>1.6706615595841093E-16</c:v>
                </c:pt>
                <c:pt idx="174">
                  <c:v>1.6706615595841093E-16</c:v>
                </c:pt>
                <c:pt idx="175">
                  <c:v>1.6706615595841093E-16</c:v>
                </c:pt>
                <c:pt idx="176">
                  <c:v>1.6706615595841093E-16</c:v>
                </c:pt>
                <c:pt idx="177">
                  <c:v>1.6706615595841093E-16</c:v>
                </c:pt>
                <c:pt idx="178">
                  <c:v>1.6706615595841093E-16</c:v>
                </c:pt>
                <c:pt idx="179">
                  <c:v>1.6706615595841093E-16</c:v>
                </c:pt>
                <c:pt idx="180">
                  <c:v>1.6706615595841093E-16</c:v>
                </c:pt>
                <c:pt idx="181">
                  <c:v>1.6706615595841093E-16</c:v>
                </c:pt>
                <c:pt idx="182">
                  <c:v>1.6706615595841093E-16</c:v>
                </c:pt>
                <c:pt idx="183">
                  <c:v>1.6706615595841093E-16</c:v>
                </c:pt>
                <c:pt idx="184">
                  <c:v>1.6706615595841093E-16</c:v>
                </c:pt>
                <c:pt idx="185">
                  <c:v>1.6706615595841093E-16</c:v>
                </c:pt>
                <c:pt idx="186">
                  <c:v>1.6706615595841093E-16</c:v>
                </c:pt>
                <c:pt idx="187">
                  <c:v>1.6706615595841093E-16</c:v>
                </c:pt>
                <c:pt idx="188">
                  <c:v>1.6706615595841093E-16</c:v>
                </c:pt>
                <c:pt idx="189">
                  <c:v>1.6706615595841093E-16</c:v>
                </c:pt>
                <c:pt idx="190">
                  <c:v>1.6706615595841093E-16</c:v>
                </c:pt>
                <c:pt idx="191">
                  <c:v>1.6706615595841093E-16</c:v>
                </c:pt>
                <c:pt idx="192">
                  <c:v>1.6706615595841093E-16</c:v>
                </c:pt>
                <c:pt idx="193">
                  <c:v>1.6706615595841093E-16</c:v>
                </c:pt>
                <c:pt idx="194">
                  <c:v>1.6706615595841093E-16</c:v>
                </c:pt>
                <c:pt idx="195">
                  <c:v>1.6706615595841093E-16</c:v>
                </c:pt>
                <c:pt idx="196">
                  <c:v>1.6706615595841093E-16</c:v>
                </c:pt>
                <c:pt idx="197">
                  <c:v>1.6706615595841093E-16</c:v>
                </c:pt>
                <c:pt idx="198">
                  <c:v>1.6706615595841093E-16</c:v>
                </c:pt>
                <c:pt idx="199">
                  <c:v>1.6706615595841093E-16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04-434C-B0CB-D1F2D22185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605186096"/>
        <c:axId val="-605193712"/>
      </c:scatterChart>
      <c:valAx>
        <c:axId val="-605186096"/>
        <c:scaling>
          <c:orientation val="minMax"/>
          <c:max val="1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Relative humidity</a:t>
                </a:r>
              </a:p>
            </c:rich>
          </c:tx>
          <c:layout>
            <c:manualLayout>
              <c:xMode val="edge"/>
              <c:yMode val="edge"/>
              <c:x val="0.45526315789473687"/>
              <c:y val="0.83657587548638135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605193712"/>
        <c:crossesAt val="0"/>
        <c:crossBetween val="midCat"/>
      </c:valAx>
      <c:valAx>
        <c:axId val="-605193712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Liquid permeability (kg/m.Pa.s)</a:t>
                </a:r>
              </a:p>
            </c:rich>
          </c:tx>
          <c:layout>
            <c:manualLayout>
              <c:xMode val="edge"/>
              <c:yMode val="edge"/>
              <c:x val="4.2105263157894736E-2"/>
              <c:y val="8.560311284046692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6051860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9086071609520985"/>
          <c:y val="0.12698461908102013"/>
          <c:w val="0.75806650618097426"/>
          <c:h val="0.69047886625304689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interface!$BQ$7:$BQ$206</c:f>
              <c:numCache>
                <c:formatCode>General</c:formatCode>
                <c:ptCount val="200"/>
                <c:pt idx="0">
                  <c:v>2.1</c:v>
                </c:pt>
                <c:pt idx="1">
                  <c:v>4</c:v>
                </c:pt>
                <c:pt idx="2">
                  <c:v>5</c:v>
                </c:pt>
                <c:pt idx="3">
                  <c:v>5.4</c:v>
                </c:pt>
                <c:pt idx="4">
                  <c:v>5.5</c:v>
                </c:pt>
                <c:pt idx="5">
                  <c:v>5.6</c:v>
                </c:pt>
                <c:pt idx="6">
                  <c:v>5.6</c:v>
                </c:pt>
                <c:pt idx="7">
                  <c:v>5.7</c:v>
                </c:pt>
                <c:pt idx="8">
                  <c:v>5.8</c:v>
                </c:pt>
                <c:pt idx="9">
                  <c:v>5.9</c:v>
                </c:pt>
                <c:pt idx="10">
                  <c:v>6</c:v>
                </c:pt>
                <c:pt idx="11">
                  <c:v>6.1</c:v>
                </c:pt>
                <c:pt idx="12">
                  <c:v>6.2</c:v>
                </c:pt>
                <c:pt idx="13">
                  <c:v>6.3</c:v>
                </c:pt>
                <c:pt idx="14">
                  <c:v>6.4</c:v>
                </c:pt>
                <c:pt idx="15">
                  <c:v>6.5</c:v>
                </c:pt>
                <c:pt idx="16">
                  <c:v>6.6</c:v>
                </c:pt>
                <c:pt idx="17">
                  <c:v>6.7</c:v>
                </c:pt>
                <c:pt idx="18">
                  <c:v>6.8</c:v>
                </c:pt>
                <c:pt idx="19">
                  <c:v>6.9</c:v>
                </c:pt>
                <c:pt idx="20">
                  <c:v>7</c:v>
                </c:pt>
                <c:pt idx="21">
                  <c:v>7.0599285099999998</c:v>
                </c:pt>
                <c:pt idx="22">
                  <c:v>7.6911308399999996</c:v>
                </c:pt>
                <c:pt idx="23">
                  <c:v>8.2194749199999997</c:v>
                </c:pt>
                <c:pt idx="24">
                  <c:v>8.2194749199999997</c:v>
                </c:pt>
                <c:pt idx="25">
                  <c:v>8.2194749199999997</c:v>
                </c:pt>
                <c:pt idx="26">
                  <c:v>8.2194749199999997</c:v>
                </c:pt>
                <c:pt idx="27">
                  <c:v>8.2194749199999997</c:v>
                </c:pt>
                <c:pt idx="28">
                  <c:v>8.2194749199999997</c:v>
                </c:pt>
                <c:pt idx="29">
                  <c:v>8.2194749199999997</c:v>
                </c:pt>
                <c:pt idx="30">
                  <c:v>8.2194749199999997</c:v>
                </c:pt>
                <c:pt idx="31">
                  <c:v>8.2194749199999997</c:v>
                </c:pt>
                <c:pt idx="32">
                  <c:v>8.2194749199999997</c:v>
                </c:pt>
                <c:pt idx="33">
                  <c:v>8.2194749199999997</c:v>
                </c:pt>
                <c:pt idx="34">
                  <c:v>8.2194749199999997</c:v>
                </c:pt>
                <c:pt idx="35">
                  <c:v>8.2194749199999997</c:v>
                </c:pt>
                <c:pt idx="36">
                  <c:v>8.2194749199999997</c:v>
                </c:pt>
                <c:pt idx="37">
                  <c:v>8.2194749199999997</c:v>
                </c:pt>
                <c:pt idx="38">
                  <c:v>8.2194749199999997</c:v>
                </c:pt>
                <c:pt idx="39">
                  <c:v>8.2194749199999997</c:v>
                </c:pt>
                <c:pt idx="40">
                  <c:v>8.2194749199999997</c:v>
                </c:pt>
                <c:pt idx="41">
                  <c:v>8.2194749199999997</c:v>
                </c:pt>
                <c:pt idx="42">
                  <c:v>8.2194749199999997</c:v>
                </c:pt>
                <c:pt idx="43">
                  <c:v>8.2194749199999997</c:v>
                </c:pt>
                <c:pt idx="44">
                  <c:v>8.2194749199999997</c:v>
                </c:pt>
                <c:pt idx="45">
                  <c:v>8.2194749199999997</c:v>
                </c:pt>
                <c:pt idx="46">
                  <c:v>8.2194749199999997</c:v>
                </c:pt>
                <c:pt idx="47">
                  <c:v>8.2194749199999997</c:v>
                </c:pt>
                <c:pt idx="48">
                  <c:v>8.2194749199999997</c:v>
                </c:pt>
                <c:pt idx="49">
                  <c:v>8.2194749199999997</c:v>
                </c:pt>
                <c:pt idx="50">
                  <c:v>8.2194749199999997</c:v>
                </c:pt>
                <c:pt idx="51">
                  <c:v>8.2194749199999997</c:v>
                </c:pt>
                <c:pt idx="52">
                  <c:v>8.2194749199999997</c:v>
                </c:pt>
                <c:pt idx="53">
                  <c:v>8.2194749199999997</c:v>
                </c:pt>
                <c:pt idx="54">
                  <c:v>8.2194749199999997</c:v>
                </c:pt>
                <c:pt idx="55">
                  <c:v>8.2194749199999997</c:v>
                </c:pt>
                <c:pt idx="56">
                  <c:v>8.2194749199999997</c:v>
                </c:pt>
                <c:pt idx="57">
                  <c:v>8.2194749199999997</c:v>
                </c:pt>
                <c:pt idx="58">
                  <c:v>8.2194749199999997</c:v>
                </c:pt>
                <c:pt idx="59">
                  <c:v>8.2194749199999997</c:v>
                </c:pt>
                <c:pt idx="60">
                  <c:v>8.2194749199999997</c:v>
                </c:pt>
                <c:pt idx="61">
                  <c:v>8.2194749199999997</c:v>
                </c:pt>
                <c:pt idx="62">
                  <c:v>8.2194749199999997</c:v>
                </c:pt>
                <c:pt idx="63">
                  <c:v>8.2194749199999997</c:v>
                </c:pt>
                <c:pt idx="64">
                  <c:v>8.2194749199999997</c:v>
                </c:pt>
                <c:pt idx="65">
                  <c:v>8.2194749199999997</c:v>
                </c:pt>
                <c:pt idx="66">
                  <c:v>8.2194749199999997</c:v>
                </c:pt>
                <c:pt idx="67">
                  <c:v>8.2194749199999997</c:v>
                </c:pt>
                <c:pt idx="68">
                  <c:v>8.2194749199999997</c:v>
                </c:pt>
                <c:pt idx="69">
                  <c:v>8.2194749199999997</c:v>
                </c:pt>
                <c:pt idx="70">
                  <c:v>8.2194749199999997</c:v>
                </c:pt>
                <c:pt idx="71">
                  <c:v>8.2194749199999997</c:v>
                </c:pt>
                <c:pt idx="72">
                  <c:v>8.2194749199999997</c:v>
                </c:pt>
                <c:pt idx="73">
                  <c:v>8.2194749199999997</c:v>
                </c:pt>
                <c:pt idx="74">
                  <c:v>8.2194749199999997</c:v>
                </c:pt>
                <c:pt idx="75">
                  <c:v>8.2194749199999997</c:v>
                </c:pt>
                <c:pt idx="76">
                  <c:v>8.2194749199999997</c:v>
                </c:pt>
                <c:pt idx="77">
                  <c:v>8.2194749199999997</c:v>
                </c:pt>
                <c:pt idx="78">
                  <c:v>8.2194749199999997</c:v>
                </c:pt>
                <c:pt idx="79">
                  <c:v>8.2194749199999997</c:v>
                </c:pt>
                <c:pt idx="80">
                  <c:v>8.2194749199999997</c:v>
                </c:pt>
                <c:pt idx="81">
                  <c:v>8.2194749199999997</c:v>
                </c:pt>
                <c:pt idx="82">
                  <c:v>8.2194749199999997</c:v>
                </c:pt>
                <c:pt idx="83">
                  <c:v>8.2194749199999997</c:v>
                </c:pt>
                <c:pt idx="84">
                  <c:v>8.2194749199999997</c:v>
                </c:pt>
                <c:pt idx="85">
                  <c:v>8.2194749199999997</c:v>
                </c:pt>
                <c:pt idx="86">
                  <c:v>8.2194749199999997</c:v>
                </c:pt>
                <c:pt idx="87">
                  <c:v>8.2194749199999997</c:v>
                </c:pt>
                <c:pt idx="88">
                  <c:v>8.2194749199999997</c:v>
                </c:pt>
                <c:pt idx="89">
                  <c:v>8.2194749199999997</c:v>
                </c:pt>
                <c:pt idx="90">
                  <c:v>8.2194749199999997</c:v>
                </c:pt>
                <c:pt idx="91">
                  <c:v>8.2194749199999997</c:v>
                </c:pt>
                <c:pt idx="92">
                  <c:v>8.2194749199999997</c:v>
                </c:pt>
                <c:pt idx="93">
                  <c:v>8.2194749199999997</c:v>
                </c:pt>
                <c:pt idx="94">
                  <c:v>8.2194749199999997</c:v>
                </c:pt>
                <c:pt idx="95">
                  <c:v>8.2194749199999997</c:v>
                </c:pt>
                <c:pt idx="96">
                  <c:v>8.2194749199999997</c:v>
                </c:pt>
                <c:pt idx="97">
                  <c:v>8.2194749199999997</c:v>
                </c:pt>
                <c:pt idx="98">
                  <c:v>8.2194749199999997</c:v>
                </c:pt>
                <c:pt idx="99">
                  <c:v>8.2194749199999997</c:v>
                </c:pt>
                <c:pt idx="100">
                  <c:v>8.2194749199999997</c:v>
                </c:pt>
                <c:pt idx="101">
                  <c:v>8.2194749199999997</c:v>
                </c:pt>
                <c:pt idx="102">
                  <c:v>8.2194749199999997</c:v>
                </c:pt>
                <c:pt idx="103">
                  <c:v>8.2194749199999997</c:v>
                </c:pt>
                <c:pt idx="104">
                  <c:v>8.2194749199999997</c:v>
                </c:pt>
                <c:pt idx="105">
                  <c:v>8.2194749199999997</c:v>
                </c:pt>
                <c:pt idx="106">
                  <c:v>8.2194749199999997</c:v>
                </c:pt>
                <c:pt idx="107">
                  <c:v>8.2194749199999997</c:v>
                </c:pt>
                <c:pt idx="108">
                  <c:v>8.2194749199999997</c:v>
                </c:pt>
                <c:pt idx="109">
                  <c:v>8.2194749199999997</c:v>
                </c:pt>
                <c:pt idx="110">
                  <c:v>8.2194749199999997</c:v>
                </c:pt>
                <c:pt idx="111">
                  <c:v>8.2194749199999997</c:v>
                </c:pt>
                <c:pt idx="112">
                  <c:v>8.2194749199999997</c:v>
                </c:pt>
                <c:pt idx="113">
                  <c:v>8.2194749199999997</c:v>
                </c:pt>
                <c:pt idx="114">
                  <c:v>8.2194749199999997</c:v>
                </c:pt>
                <c:pt idx="115">
                  <c:v>8.2194749199999997</c:v>
                </c:pt>
                <c:pt idx="116">
                  <c:v>8.2194749199999997</c:v>
                </c:pt>
                <c:pt idx="117">
                  <c:v>8.2194749199999997</c:v>
                </c:pt>
                <c:pt idx="118">
                  <c:v>8.2194749199999997</c:v>
                </c:pt>
                <c:pt idx="119">
                  <c:v>8.2194749199999997</c:v>
                </c:pt>
                <c:pt idx="120">
                  <c:v>8.2194749199999997</c:v>
                </c:pt>
                <c:pt idx="121">
                  <c:v>8.2194749199999997</c:v>
                </c:pt>
                <c:pt idx="122">
                  <c:v>8.2194749199999997</c:v>
                </c:pt>
                <c:pt idx="123">
                  <c:v>8.2194749199999997</c:v>
                </c:pt>
                <c:pt idx="124">
                  <c:v>8.2194749199999997</c:v>
                </c:pt>
                <c:pt idx="125">
                  <c:v>8.2194749199999997</c:v>
                </c:pt>
                <c:pt idx="126">
                  <c:v>8.2194749199999997</c:v>
                </c:pt>
                <c:pt idx="127">
                  <c:v>8.2194749199999997</c:v>
                </c:pt>
                <c:pt idx="128">
                  <c:v>8.2194749199999997</c:v>
                </c:pt>
                <c:pt idx="129">
                  <c:v>8.2194749199999997</c:v>
                </c:pt>
                <c:pt idx="130">
                  <c:v>8.2194749199999997</c:v>
                </c:pt>
                <c:pt idx="131">
                  <c:v>8.2194749199999997</c:v>
                </c:pt>
                <c:pt idx="132">
                  <c:v>8.2194749199999997</c:v>
                </c:pt>
                <c:pt idx="133">
                  <c:v>8.2194749199999997</c:v>
                </c:pt>
                <c:pt idx="134">
                  <c:v>8.2194749199999997</c:v>
                </c:pt>
                <c:pt idx="135">
                  <c:v>8.2194749199999997</c:v>
                </c:pt>
                <c:pt idx="136">
                  <c:v>8.2194749199999997</c:v>
                </c:pt>
                <c:pt idx="137">
                  <c:v>8.2194749199999997</c:v>
                </c:pt>
                <c:pt idx="138">
                  <c:v>8.2194749199999997</c:v>
                </c:pt>
                <c:pt idx="139">
                  <c:v>8.2194749199999997</c:v>
                </c:pt>
                <c:pt idx="140">
                  <c:v>8.2194749199999997</c:v>
                </c:pt>
                <c:pt idx="141">
                  <c:v>8.2194749199999997</c:v>
                </c:pt>
                <c:pt idx="142">
                  <c:v>8.2194749199999997</c:v>
                </c:pt>
                <c:pt idx="143">
                  <c:v>8.2194749199999997</c:v>
                </c:pt>
                <c:pt idx="144">
                  <c:v>8.2194749199999997</c:v>
                </c:pt>
                <c:pt idx="145">
                  <c:v>8.2194749199999997</c:v>
                </c:pt>
                <c:pt idx="146">
                  <c:v>8.2194749199999997</c:v>
                </c:pt>
                <c:pt idx="147">
                  <c:v>8.2194749199999997</c:v>
                </c:pt>
                <c:pt idx="148">
                  <c:v>8.2194749199999997</c:v>
                </c:pt>
                <c:pt idx="149">
                  <c:v>8.2194749199999997</c:v>
                </c:pt>
                <c:pt idx="150">
                  <c:v>8.2194749199999997</c:v>
                </c:pt>
                <c:pt idx="151">
                  <c:v>8.2194749199999997</c:v>
                </c:pt>
                <c:pt idx="152">
                  <c:v>8.2194749199999997</c:v>
                </c:pt>
                <c:pt idx="153">
                  <c:v>8.2194749199999997</c:v>
                </c:pt>
                <c:pt idx="154">
                  <c:v>8.2194749199999997</c:v>
                </c:pt>
                <c:pt idx="155">
                  <c:v>8.2194749199999997</c:v>
                </c:pt>
                <c:pt idx="156">
                  <c:v>8.2194749199999997</c:v>
                </c:pt>
                <c:pt idx="157">
                  <c:v>8.2194749199999997</c:v>
                </c:pt>
                <c:pt idx="158">
                  <c:v>8.2194749199999997</c:v>
                </c:pt>
                <c:pt idx="159">
                  <c:v>8.2194749199999997</c:v>
                </c:pt>
                <c:pt idx="160">
                  <c:v>8.2194749199999997</c:v>
                </c:pt>
                <c:pt idx="161">
                  <c:v>8.2194749199999997</c:v>
                </c:pt>
                <c:pt idx="162">
                  <c:v>8.2194749199999997</c:v>
                </c:pt>
                <c:pt idx="163">
                  <c:v>8.2194749199999997</c:v>
                </c:pt>
                <c:pt idx="164">
                  <c:v>8.2194749199999997</c:v>
                </c:pt>
                <c:pt idx="165">
                  <c:v>8.2194749199999997</c:v>
                </c:pt>
                <c:pt idx="166">
                  <c:v>8.2194749199999997</c:v>
                </c:pt>
                <c:pt idx="167">
                  <c:v>8.2194749199999997</c:v>
                </c:pt>
                <c:pt idx="168">
                  <c:v>8.2194749199999997</c:v>
                </c:pt>
                <c:pt idx="169">
                  <c:v>8.2194749199999997</c:v>
                </c:pt>
                <c:pt idx="170">
                  <c:v>8.2194749199999997</c:v>
                </c:pt>
                <c:pt idx="171">
                  <c:v>8.2194749199999997</c:v>
                </c:pt>
                <c:pt idx="172">
                  <c:v>8.2194749199999997</c:v>
                </c:pt>
                <c:pt idx="173">
                  <c:v>8.2194749199999997</c:v>
                </c:pt>
                <c:pt idx="174">
                  <c:v>8.2194749199999997</c:v>
                </c:pt>
                <c:pt idx="175">
                  <c:v>8.2194749199999997</c:v>
                </c:pt>
                <c:pt idx="176">
                  <c:v>8.2194749199999997</c:v>
                </c:pt>
                <c:pt idx="177">
                  <c:v>8.2194749199999997</c:v>
                </c:pt>
                <c:pt idx="178">
                  <c:v>8.2194749199999997</c:v>
                </c:pt>
                <c:pt idx="179">
                  <c:v>8.2194749199999997</c:v>
                </c:pt>
                <c:pt idx="180">
                  <c:v>8.2194749199999997</c:v>
                </c:pt>
                <c:pt idx="181">
                  <c:v>8.2194749199999997</c:v>
                </c:pt>
                <c:pt idx="182">
                  <c:v>8.2194749199999997</c:v>
                </c:pt>
                <c:pt idx="183">
                  <c:v>8.2194749199999997</c:v>
                </c:pt>
                <c:pt idx="184">
                  <c:v>8.2194749199999997</c:v>
                </c:pt>
                <c:pt idx="185">
                  <c:v>8.2194749199999997</c:v>
                </c:pt>
                <c:pt idx="186">
                  <c:v>8.2194749199999997</c:v>
                </c:pt>
                <c:pt idx="187">
                  <c:v>8.2194749199999997</c:v>
                </c:pt>
                <c:pt idx="188">
                  <c:v>8.2194749199999997</c:v>
                </c:pt>
                <c:pt idx="189">
                  <c:v>8.2194749199999997</c:v>
                </c:pt>
                <c:pt idx="190">
                  <c:v>8.2194749199999997</c:v>
                </c:pt>
                <c:pt idx="191">
                  <c:v>8.2194749199999997</c:v>
                </c:pt>
                <c:pt idx="192">
                  <c:v>8.2194749199999997</c:v>
                </c:pt>
                <c:pt idx="193">
                  <c:v>8.2194749199999997</c:v>
                </c:pt>
                <c:pt idx="194">
                  <c:v>8.2194749199999997</c:v>
                </c:pt>
                <c:pt idx="195">
                  <c:v>8.2194749199999997</c:v>
                </c:pt>
                <c:pt idx="196">
                  <c:v>8.2194749199999997</c:v>
                </c:pt>
                <c:pt idx="197">
                  <c:v>8.2194749199999997</c:v>
                </c:pt>
                <c:pt idx="198">
                  <c:v>8.2194749199999997</c:v>
                </c:pt>
                <c:pt idx="199">
                  <c:v>8.2194749199999997</c:v>
                </c:pt>
              </c:numCache>
            </c:numRef>
          </c:xVal>
          <c:yVal>
            <c:numRef>
              <c:f>interface!$BU$7:$BU$206</c:f>
              <c:numCache>
                <c:formatCode>0.00E+00</c:formatCode>
                <c:ptCount val="200"/>
                <c:pt idx="0">
                  <c:v>-10.465856277824434</c:v>
                </c:pt>
                <c:pt idx="1">
                  <c:v>-10.465657006384717</c:v>
                </c:pt>
                <c:pt idx="2">
                  <c:v>-10.465564584646282</c:v>
                </c:pt>
                <c:pt idx="3">
                  <c:v>-10.465476562007671</c:v>
                </c:pt>
                <c:pt idx="4">
                  <c:v>-10.465381268581291</c:v>
                </c:pt>
                <c:pt idx="5">
                  <c:v>-10.465269475647764</c:v>
                </c:pt>
                <c:pt idx="6">
                  <c:v>-10.465128017388635</c:v>
                </c:pt>
                <c:pt idx="7">
                  <c:v>-10.46493148413286</c:v>
                </c:pt>
                <c:pt idx="8">
                  <c:v>-10.464615844116459</c:v>
                </c:pt>
                <c:pt idx="9">
                  <c:v>-10.46393011967262</c:v>
                </c:pt>
                <c:pt idx="10">
                  <c:v>-10.457172519927848</c:v>
                </c:pt>
                <c:pt idx="11">
                  <c:v>-10.783787740877271</c:v>
                </c:pt>
                <c:pt idx="12">
                  <c:v>-10.78417936229042</c:v>
                </c:pt>
                <c:pt idx="13">
                  <c:v>-10.78417936229042</c:v>
                </c:pt>
                <c:pt idx="14">
                  <c:v>1.643644148734682E-11</c:v>
                </c:pt>
                <c:pt idx="15">
                  <c:v>1.643644148734682E-11</c:v>
                </c:pt>
                <c:pt idx="16">
                  <c:v>1.643644148734682E-11</c:v>
                </c:pt>
                <c:pt idx="17">
                  <c:v>1.643644148734682E-11</c:v>
                </c:pt>
                <c:pt idx="18">
                  <c:v>1.643644148734682E-11</c:v>
                </c:pt>
                <c:pt idx="19">
                  <c:v>1.643644148734682E-11</c:v>
                </c:pt>
                <c:pt idx="20">
                  <c:v>1.643644148734682E-11</c:v>
                </c:pt>
                <c:pt idx="21">
                  <c:v>1.643644148734682E-11</c:v>
                </c:pt>
                <c:pt idx="22">
                  <c:v>1.643644148734682E-11</c:v>
                </c:pt>
                <c:pt idx="23">
                  <c:v>1.643644148734682E-11</c:v>
                </c:pt>
                <c:pt idx="24">
                  <c:v>1.643644148734682E-11</c:v>
                </c:pt>
                <c:pt idx="25">
                  <c:v>1.643644148734682E-11</c:v>
                </c:pt>
                <c:pt idx="26">
                  <c:v>1.643644148734682E-11</c:v>
                </c:pt>
                <c:pt idx="27">
                  <c:v>1.643644148734682E-11</c:v>
                </c:pt>
                <c:pt idx="28">
                  <c:v>1.643644148734682E-11</c:v>
                </c:pt>
                <c:pt idx="29">
                  <c:v>1.643644148734682E-11</c:v>
                </c:pt>
                <c:pt idx="30">
                  <c:v>1.643644148734682E-11</c:v>
                </c:pt>
                <c:pt idx="31">
                  <c:v>1.643644148734682E-11</c:v>
                </c:pt>
                <c:pt idx="32">
                  <c:v>1.643644148734682E-11</c:v>
                </c:pt>
                <c:pt idx="33">
                  <c:v>1.643644148734682E-11</c:v>
                </c:pt>
                <c:pt idx="34">
                  <c:v>1.643644148734682E-11</c:v>
                </c:pt>
                <c:pt idx="35">
                  <c:v>1.643644148734682E-11</c:v>
                </c:pt>
                <c:pt idx="36">
                  <c:v>1.643644148734682E-11</c:v>
                </c:pt>
                <c:pt idx="37">
                  <c:v>1.643644148734682E-11</c:v>
                </c:pt>
                <c:pt idx="38">
                  <c:v>1.643644148734682E-11</c:v>
                </c:pt>
                <c:pt idx="39">
                  <c:v>1.643644148734682E-11</c:v>
                </c:pt>
                <c:pt idx="40">
                  <c:v>1.643644148734682E-11</c:v>
                </c:pt>
                <c:pt idx="41">
                  <c:v>1.643644148734682E-11</c:v>
                </c:pt>
                <c:pt idx="42">
                  <c:v>1.643644148734682E-11</c:v>
                </c:pt>
                <c:pt idx="43">
                  <c:v>1.643644148734682E-11</c:v>
                </c:pt>
                <c:pt idx="44">
                  <c:v>1.643644148734682E-11</c:v>
                </c:pt>
                <c:pt idx="45">
                  <c:v>1.643644148734682E-11</c:v>
                </c:pt>
                <c:pt idx="46">
                  <c:v>1.643644148734682E-11</c:v>
                </c:pt>
                <c:pt idx="47">
                  <c:v>1.643644148734682E-11</c:v>
                </c:pt>
                <c:pt idx="48">
                  <c:v>1.643644148734682E-11</c:v>
                </c:pt>
                <c:pt idx="49">
                  <c:v>1.643644148734682E-11</c:v>
                </c:pt>
                <c:pt idx="50">
                  <c:v>1.643644148734682E-11</c:v>
                </c:pt>
                <c:pt idx="51">
                  <c:v>1.643644148734682E-11</c:v>
                </c:pt>
                <c:pt idx="52">
                  <c:v>1.643644148734682E-11</c:v>
                </c:pt>
                <c:pt idx="53">
                  <c:v>1.643644148734682E-11</c:v>
                </c:pt>
                <c:pt idx="54">
                  <c:v>1.643644148734682E-11</c:v>
                </c:pt>
                <c:pt idx="55">
                  <c:v>1.643644148734682E-11</c:v>
                </c:pt>
                <c:pt idx="56">
                  <c:v>1.643644148734682E-11</c:v>
                </c:pt>
                <c:pt idx="57">
                  <c:v>1.643644148734682E-11</c:v>
                </c:pt>
                <c:pt idx="58">
                  <c:v>1.643644148734682E-11</c:v>
                </c:pt>
                <c:pt idx="59">
                  <c:v>1.643644148734682E-11</c:v>
                </c:pt>
                <c:pt idx="60">
                  <c:v>1.643644148734682E-11</c:v>
                </c:pt>
                <c:pt idx="61">
                  <c:v>1.643644148734682E-11</c:v>
                </c:pt>
                <c:pt idx="62">
                  <c:v>1.643644148734682E-11</c:v>
                </c:pt>
                <c:pt idx="63">
                  <c:v>1.643644148734682E-11</c:v>
                </c:pt>
                <c:pt idx="64">
                  <c:v>1.643644148734682E-11</c:v>
                </c:pt>
                <c:pt idx="65">
                  <c:v>1.643644148734682E-11</c:v>
                </c:pt>
                <c:pt idx="66">
                  <c:v>1.643644148734682E-11</c:v>
                </c:pt>
                <c:pt idx="67">
                  <c:v>1.643644148734682E-11</c:v>
                </c:pt>
                <c:pt idx="68">
                  <c:v>1.643644148734682E-11</c:v>
                </c:pt>
                <c:pt idx="69">
                  <c:v>1.643644148734682E-11</c:v>
                </c:pt>
                <c:pt idx="70">
                  <c:v>1.643644148734682E-11</c:v>
                </c:pt>
                <c:pt idx="71">
                  <c:v>1.643644148734682E-11</c:v>
                </c:pt>
                <c:pt idx="72">
                  <c:v>1.643644148734682E-11</c:v>
                </c:pt>
                <c:pt idx="73">
                  <c:v>1.643644148734682E-11</c:v>
                </c:pt>
                <c:pt idx="74">
                  <c:v>1.643644148734682E-11</c:v>
                </c:pt>
                <c:pt idx="75">
                  <c:v>1.643644148734682E-11</c:v>
                </c:pt>
                <c:pt idx="76">
                  <c:v>1.643644148734682E-11</c:v>
                </c:pt>
                <c:pt idx="77">
                  <c:v>1.643644148734682E-11</c:v>
                </c:pt>
                <c:pt idx="78">
                  <c:v>1.643644148734682E-11</c:v>
                </c:pt>
                <c:pt idx="79">
                  <c:v>1.643644148734682E-11</c:v>
                </c:pt>
                <c:pt idx="80">
                  <c:v>1.643644148734682E-11</c:v>
                </c:pt>
                <c:pt idx="81">
                  <c:v>1.643644148734682E-11</c:v>
                </c:pt>
                <c:pt idx="82">
                  <c:v>1.643644148734682E-11</c:v>
                </c:pt>
                <c:pt idx="83">
                  <c:v>1.643644148734682E-11</c:v>
                </c:pt>
                <c:pt idx="84">
                  <c:v>1.643644148734682E-11</c:v>
                </c:pt>
                <c:pt idx="85">
                  <c:v>1.643644148734682E-11</c:v>
                </c:pt>
                <c:pt idx="86">
                  <c:v>1.643644148734682E-11</c:v>
                </c:pt>
                <c:pt idx="87">
                  <c:v>1.643644148734682E-11</c:v>
                </c:pt>
                <c:pt idx="88">
                  <c:v>1.643644148734682E-11</c:v>
                </c:pt>
                <c:pt idx="89">
                  <c:v>1.643644148734682E-11</c:v>
                </c:pt>
                <c:pt idx="90">
                  <c:v>1.643644148734682E-11</c:v>
                </c:pt>
                <c:pt idx="91">
                  <c:v>1.643644148734682E-11</c:v>
                </c:pt>
                <c:pt idx="92">
                  <c:v>1.643644148734682E-11</c:v>
                </c:pt>
                <c:pt idx="93">
                  <c:v>1.643644148734682E-11</c:v>
                </c:pt>
                <c:pt idx="94">
                  <c:v>1.643644148734682E-11</c:v>
                </c:pt>
                <c:pt idx="95">
                  <c:v>1.643644148734682E-11</c:v>
                </c:pt>
                <c:pt idx="96">
                  <c:v>1.643644148734682E-11</c:v>
                </c:pt>
                <c:pt idx="97">
                  <c:v>1.643644148734682E-11</c:v>
                </c:pt>
                <c:pt idx="98">
                  <c:v>1.643644148734682E-11</c:v>
                </c:pt>
                <c:pt idx="99">
                  <c:v>1.643644148734682E-11</c:v>
                </c:pt>
                <c:pt idx="100">
                  <c:v>1.643644148734682E-11</c:v>
                </c:pt>
                <c:pt idx="101">
                  <c:v>1.643644148734682E-11</c:v>
                </c:pt>
                <c:pt idx="102">
                  <c:v>1.643644148734682E-11</c:v>
                </c:pt>
                <c:pt idx="103">
                  <c:v>1.643644148734682E-11</c:v>
                </c:pt>
                <c:pt idx="104">
                  <c:v>1.643644148734682E-11</c:v>
                </c:pt>
                <c:pt idx="105">
                  <c:v>1.643644148734682E-11</c:v>
                </c:pt>
                <c:pt idx="106">
                  <c:v>1.643644148734682E-11</c:v>
                </c:pt>
                <c:pt idx="107">
                  <c:v>1.643644148734682E-11</c:v>
                </c:pt>
                <c:pt idx="108">
                  <c:v>1.643644148734682E-11</c:v>
                </c:pt>
                <c:pt idx="109">
                  <c:v>1.643644148734682E-11</c:v>
                </c:pt>
                <c:pt idx="110">
                  <c:v>1.643644148734682E-11</c:v>
                </c:pt>
                <c:pt idx="111">
                  <c:v>1.643644148734682E-11</c:v>
                </c:pt>
                <c:pt idx="112">
                  <c:v>1.643644148734682E-11</c:v>
                </c:pt>
                <c:pt idx="113">
                  <c:v>1.643644148734682E-11</c:v>
                </c:pt>
                <c:pt idx="114">
                  <c:v>1.643644148734682E-11</c:v>
                </c:pt>
                <c:pt idx="115">
                  <c:v>1.643644148734682E-11</c:v>
                </c:pt>
                <c:pt idx="116">
                  <c:v>1.643644148734682E-11</c:v>
                </c:pt>
                <c:pt idx="117">
                  <c:v>1.643644148734682E-11</c:v>
                </c:pt>
                <c:pt idx="118">
                  <c:v>1.643644148734682E-11</c:v>
                </c:pt>
                <c:pt idx="119">
                  <c:v>1.643644148734682E-11</c:v>
                </c:pt>
                <c:pt idx="120">
                  <c:v>1.643644148734682E-11</c:v>
                </c:pt>
                <c:pt idx="121">
                  <c:v>1.643644148734682E-11</c:v>
                </c:pt>
                <c:pt idx="122">
                  <c:v>1.643644148734682E-11</c:v>
                </c:pt>
                <c:pt idx="123">
                  <c:v>1.643644148734682E-11</c:v>
                </c:pt>
                <c:pt idx="124">
                  <c:v>1.643644148734682E-11</c:v>
                </c:pt>
                <c:pt idx="125">
                  <c:v>1.643644148734682E-11</c:v>
                </c:pt>
                <c:pt idx="126">
                  <c:v>1.643644148734682E-11</c:v>
                </c:pt>
                <c:pt idx="127">
                  <c:v>1.643644148734682E-11</c:v>
                </c:pt>
                <c:pt idx="128">
                  <c:v>1.643644148734682E-11</c:v>
                </c:pt>
                <c:pt idx="129">
                  <c:v>1.643644148734682E-11</c:v>
                </c:pt>
                <c:pt idx="130">
                  <c:v>1.643644148734682E-11</c:v>
                </c:pt>
                <c:pt idx="131">
                  <c:v>1.643644148734682E-11</c:v>
                </c:pt>
                <c:pt idx="132">
                  <c:v>1.643644148734682E-11</c:v>
                </c:pt>
                <c:pt idx="133">
                  <c:v>1.643644148734682E-11</c:v>
                </c:pt>
                <c:pt idx="134">
                  <c:v>1.643644148734682E-11</c:v>
                </c:pt>
                <c:pt idx="135">
                  <c:v>1.643644148734682E-11</c:v>
                </c:pt>
                <c:pt idx="136">
                  <c:v>1.643644148734682E-11</c:v>
                </c:pt>
                <c:pt idx="137">
                  <c:v>1.643644148734682E-11</c:v>
                </c:pt>
                <c:pt idx="138">
                  <c:v>1.643644148734682E-11</c:v>
                </c:pt>
                <c:pt idx="139">
                  <c:v>1.643644148734682E-11</c:v>
                </c:pt>
                <c:pt idx="140">
                  <c:v>1.643644148734682E-11</c:v>
                </c:pt>
                <c:pt idx="141">
                  <c:v>1.643644148734682E-11</c:v>
                </c:pt>
                <c:pt idx="142">
                  <c:v>1.643644148734682E-11</c:v>
                </c:pt>
                <c:pt idx="143">
                  <c:v>1.643644148734682E-11</c:v>
                </c:pt>
                <c:pt idx="144">
                  <c:v>1.643644148734682E-11</c:v>
                </c:pt>
                <c:pt idx="145">
                  <c:v>1.643644148734682E-11</c:v>
                </c:pt>
                <c:pt idx="146">
                  <c:v>1.643644148734682E-11</c:v>
                </c:pt>
                <c:pt idx="147">
                  <c:v>1.643644148734682E-11</c:v>
                </c:pt>
                <c:pt idx="148">
                  <c:v>1.643644148734682E-11</c:v>
                </c:pt>
                <c:pt idx="149">
                  <c:v>1.643644148734682E-11</c:v>
                </c:pt>
                <c:pt idx="150">
                  <c:v>1.643644148734682E-11</c:v>
                </c:pt>
                <c:pt idx="151">
                  <c:v>1.643644148734682E-11</c:v>
                </c:pt>
                <c:pt idx="152">
                  <c:v>1.643644148734682E-11</c:v>
                </c:pt>
                <c:pt idx="153">
                  <c:v>1.643644148734682E-11</c:v>
                </c:pt>
                <c:pt idx="154">
                  <c:v>1.643644148734682E-11</c:v>
                </c:pt>
                <c:pt idx="155">
                  <c:v>1.643644148734682E-11</c:v>
                </c:pt>
                <c:pt idx="156">
                  <c:v>1.643644148734682E-11</c:v>
                </c:pt>
                <c:pt idx="157">
                  <c:v>1.643644148734682E-11</c:v>
                </c:pt>
                <c:pt idx="158">
                  <c:v>1.643644148734682E-11</c:v>
                </c:pt>
                <c:pt idx="159">
                  <c:v>1.643644148734682E-11</c:v>
                </c:pt>
                <c:pt idx="160">
                  <c:v>1.643644148734682E-11</c:v>
                </c:pt>
                <c:pt idx="161">
                  <c:v>1.643644148734682E-11</c:v>
                </c:pt>
                <c:pt idx="162">
                  <c:v>1.643644148734682E-11</c:v>
                </c:pt>
                <c:pt idx="163">
                  <c:v>1.643644148734682E-11</c:v>
                </c:pt>
                <c:pt idx="164">
                  <c:v>1.643644148734682E-11</c:v>
                </c:pt>
                <c:pt idx="165">
                  <c:v>1.643644148734682E-11</c:v>
                </c:pt>
                <c:pt idx="166">
                  <c:v>1.643644148734682E-11</c:v>
                </c:pt>
                <c:pt idx="167">
                  <c:v>1.643644148734682E-11</c:v>
                </c:pt>
                <c:pt idx="168">
                  <c:v>1.643644148734682E-11</c:v>
                </c:pt>
                <c:pt idx="169">
                  <c:v>1.643644148734682E-11</c:v>
                </c:pt>
                <c:pt idx="170">
                  <c:v>1.643644148734682E-11</c:v>
                </c:pt>
                <c:pt idx="171">
                  <c:v>1.643644148734682E-11</c:v>
                </c:pt>
                <c:pt idx="172">
                  <c:v>1.643644148734682E-11</c:v>
                </c:pt>
                <c:pt idx="173">
                  <c:v>1.643644148734682E-11</c:v>
                </c:pt>
                <c:pt idx="174">
                  <c:v>1.643644148734682E-11</c:v>
                </c:pt>
                <c:pt idx="175">
                  <c:v>1.643644148734682E-11</c:v>
                </c:pt>
                <c:pt idx="176">
                  <c:v>1.643644148734682E-11</c:v>
                </c:pt>
                <c:pt idx="177">
                  <c:v>1.643644148734682E-11</c:v>
                </c:pt>
                <c:pt idx="178">
                  <c:v>1.643644148734682E-11</c:v>
                </c:pt>
                <c:pt idx="179">
                  <c:v>1.643644148734682E-11</c:v>
                </c:pt>
                <c:pt idx="180">
                  <c:v>1.643644148734682E-11</c:v>
                </c:pt>
                <c:pt idx="181">
                  <c:v>1.643644148734682E-11</c:v>
                </c:pt>
                <c:pt idx="182">
                  <c:v>1.643644148734682E-11</c:v>
                </c:pt>
                <c:pt idx="183">
                  <c:v>1.643644148734682E-11</c:v>
                </c:pt>
                <c:pt idx="184">
                  <c:v>1.643644148734682E-11</c:v>
                </c:pt>
                <c:pt idx="185">
                  <c:v>1.643644148734682E-11</c:v>
                </c:pt>
                <c:pt idx="186">
                  <c:v>1.643644148734682E-11</c:v>
                </c:pt>
                <c:pt idx="187">
                  <c:v>1.643644148734682E-11</c:v>
                </c:pt>
                <c:pt idx="188">
                  <c:v>1.643644148734682E-11</c:v>
                </c:pt>
                <c:pt idx="189">
                  <c:v>1.643644148734682E-11</c:v>
                </c:pt>
                <c:pt idx="190">
                  <c:v>1.643644148734682E-11</c:v>
                </c:pt>
                <c:pt idx="191">
                  <c:v>1.643644148734682E-11</c:v>
                </c:pt>
                <c:pt idx="192">
                  <c:v>1.643644148734682E-11</c:v>
                </c:pt>
                <c:pt idx="193">
                  <c:v>1.643644148734682E-11</c:v>
                </c:pt>
                <c:pt idx="194">
                  <c:v>1.643644148734682E-11</c:v>
                </c:pt>
                <c:pt idx="195">
                  <c:v>1.643644148734682E-11</c:v>
                </c:pt>
                <c:pt idx="196">
                  <c:v>1.643644148734682E-11</c:v>
                </c:pt>
                <c:pt idx="197">
                  <c:v>1.643644148734682E-11</c:v>
                </c:pt>
                <c:pt idx="198">
                  <c:v>1.643644148734682E-11</c:v>
                </c:pt>
                <c:pt idx="199">
                  <c:v>1.643644148734682E-11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14-4BD3-9803-F79F78A18F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605197520"/>
        <c:axId val="-605198608"/>
      </c:scatterChart>
      <c:valAx>
        <c:axId val="-605197520"/>
        <c:scaling>
          <c:orientation val="minMax"/>
          <c:max val="9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Log of capillary pressure (Pa)</a:t>
                </a:r>
              </a:p>
            </c:rich>
          </c:tx>
          <c:layout>
            <c:manualLayout>
              <c:xMode val="edge"/>
              <c:yMode val="edge"/>
              <c:x val="0.3467750402167471"/>
              <c:y val="0.8571461900595759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high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605198608"/>
        <c:crosses val="autoZero"/>
        <c:crossBetween val="midCat"/>
      </c:valAx>
      <c:valAx>
        <c:axId val="-605198608"/>
        <c:scaling>
          <c:orientation val="minMax"/>
          <c:max val="0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Log of vapour diffusion coefficient</a:t>
                </a:r>
              </a:p>
            </c:rich>
          </c:tx>
          <c:layout>
            <c:manualLayout>
              <c:xMode val="edge"/>
              <c:yMode val="edge"/>
              <c:x val="5.6451895126012473E-2"/>
              <c:y val="0.2103182935466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6051975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51337267971924"/>
          <c:y val="9.6153846153846159E-2"/>
          <c:w val="0.72051462468605942"/>
          <c:h val="0.66153846153846152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interface!$X$7:$X$17</c:f>
              <c:numCache>
                <c:formatCode>General</c:formatCode>
                <c:ptCount val="11"/>
                <c:pt idx="0">
                  <c:v>1E-3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0.99</c:v>
                </c:pt>
              </c:numCache>
            </c:numRef>
          </c:xVal>
          <c:yVal>
            <c:numRef>
              <c:f>interface!$AN$7:$AN$17</c:f>
              <c:numCache>
                <c:formatCode>0.0E+00</c:formatCode>
                <c:ptCount val="11"/>
                <c:pt idx="0">
                  <c:v>538998.50123884541</c:v>
                </c:pt>
                <c:pt idx="1">
                  <c:v>332153.91862647916</c:v>
                </c:pt>
                <c:pt idx="2">
                  <c:v>285840.1940972482</c:v>
                </c:pt>
                <c:pt idx="3">
                  <c:v>253938.82302649788</c:v>
                </c:pt>
                <c:pt idx="4">
                  <c:v>227873.48184490114</c:v>
                </c:pt>
                <c:pt idx="5">
                  <c:v>204663.49496161914</c:v>
                </c:pt>
                <c:pt idx="6">
                  <c:v>182722.36593032451</c:v>
                </c:pt>
                <c:pt idx="7">
                  <c:v>160832.43366010691</c:v>
                </c:pt>
                <c:pt idx="8">
                  <c:v>137543.52249953226</c:v>
                </c:pt>
                <c:pt idx="9">
                  <c:v>109851.0394495915</c:v>
                </c:pt>
                <c:pt idx="10">
                  <c:v>100078.90498928004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D9-4657-830D-324B493360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605193168"/>
        <c:axId val="-605195344"/>
      </c:scatterChart>
      <c:valAx>
        <c:axId val="-605193168"/>
        <c:scaling>
          <c:orientation val="minMax"/>
          <c:max val="1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Relative humidity</a:t>
                </a:r>
              </a:p>
            </c:rich>
          </c:tx>
          <c:layout>
            <c:manualLayout>
              <c:xMode val="edge"/>
              <c:yMode val="edge"/>
              <c:x val="0.45384723063463217"/>
              <c:y val="0.861538461538461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605195344"/>
        <c:crosses val="autoZero"/>
        <c:crossBetween val="midCat"/>
      </c:valAx>
      <c:valAx>
        <c:axId val="-605195344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Moisture capacity (kg/m3.Pa)</a:t>
                </a:r>
              </a:p>
            </c:rich>
          </c:tx>
          <c:layout>
            <c:manualLayout>
              <c:xMode val="edge"/>
              <c:yMode val="edge"/>
              <c:x val="4.1025641025641026E-2"/>
              <c:y val="0.11538461538461539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6051931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6350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997167138810199"/>
          <c:y val="0.10204081632653061"/>
          <c:w val="0.72521246458923516"/>
          <c:h val="0.64081632653061227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interface!$Y$7:$Y$19</c:f>
              <c:numCache>
                <c:formatCode>0.0E+00</c:formatCode>
                <c:ptCount val="13"/>
                <c:pt idx="0">
                  <c:v>-935809751.06779706</c:v>
                </c:pt>
                <c:pt idx="1">
                  <c:v>-311936583.68926567</c:v>
                </c:pt>
                <c:pt idx="2">
                  <c:v>-218034315.25384891</c:v>
                </c:pt>
                <c:pt idx="3">
                  <c:v>-163105009.48647827</c:v>
                </c:pt>
                <c:pt idx="4">
                  <c:v>-124132046.81843217</c:v>
                </c:pt>
                <c:pt idx="5">
                  <c:v>-93902268.435416758</c:v>
                </c:pt>
                <c:pt idx="6">
                  <c:v>-69202741.051061511</c:v>
                </c:pt>
                <c:pt idx="7">
                  <c:v>-48319588.204724066</c:v>
                </c:pt>
                <c:pt idx="8">
                  <c:v>-30229778.383015409</c:v>
                </c:pt>
                <c:pt idx="9">
                  <c:v>-14273435.28369082</c:v>
                </c:pt>
                <c:pt idx="10">
                  <c:v>-1361542.4857087312</c:v>
                </c:pt>
                <c:pt idx="11">
                  <c:v>-13547.911106844342</c:v>
                </c:pt>
                <c:pt idx="12">
                  <c:v>-1354.7301436558423</c:v>
                </c:pt>
              </c:numCache>
            </c:numRef>
          </c:xVal>
          <c:yVal>
            <c:numRef>
              <c:f>interface!$AN$7:$AN$19</c:f>
              <c:numCache>
                <c:formatCode>0.0E+00</c:formatCode>
                <c:ptCount val="13"/>
                <c:pt idx="0">
                  <c:v>538998.50123884541</c:v>
                </c:pt>
                <c:pt idx="1">
                  <c:v>332153.91862647916</c:v>
                </c:pt>
                <c:pt idx="2">
                  <c:v>285840.1940972482</c:v>
                </c:pt>
                <c:pt idx="3">
                  <c:v>253938.82302649788</c:v>
                </c:pt>
                <c:pt idx="4">
                  <c:v>227873.48184490114</c:v>
                </c:pt>
                <c:pt idx="5">
                  <c:v>204663.49496161914</c:v>
                </c:pt>
                <c:pt idx="6">
                  <c:v>182722.36593032451</c:v>
                </c:pt>
                <c:pt idx="7">
                  <c:v>160832.43366010691</c:v>
                </c:pt>
                <c:pt idx="8">
                  <c:v>137543.52249953226</c:v>
                </c:pt>
                <c:pt idx="9">
                  <c:v>109851.0394495915</c:v>
                </c:pt>
                <c:pt idx="10">
                  <c:v>100078.90498928004</c:v>
                </c:pt>
                <c:pt idx="11">
                  <c:v>3.0392967791886196</c:v>
                </c:pt>
                <c:pt idx="12">
                  <c:v>7.5022446734936852E-3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9F0-4628-99C4-580DA96ED0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605191536"/>
        <c:axId val="-605187728"/>
      </c:scatterChart>
      <c:valAx>
        <c:axId val="-6051915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Capillary pressure (Pa)</a:t>
                </a:r>
              </a:p>
            </c:rich>
          </c:tx>
          <c:layout>
            <c:manualLayout>
              <c:xMode val="edge"/>
              <c:yMode val="edge"/>
              <c:x val="0.34844192634560905"/>
              <c:y val="0.85306122448979593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605187728"/>
        <c:crosses val="autoZero"/>
        <c:crossBetween val="midCat"/>
      </c:valAx>
      <c:valAx>
        <c:axId val="-605187728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Moisture capacity (kg/m3.Pa)</a:t>
                </a:r>
              </a:p>
            </c:rich>
          </c:tx>
          <c:layout>
            <c:manualLayout>
              <c:xMode val="edge"/>
              <c:yMode val="edge"/>
              <c:x val="4.5325779036827198E-2"/>
              <c:y val="0.12653061224489795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60519153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324327391690498"/>
          <c:y val="9.5785799006970665E-2"/>
          <c:w val="0.70540633631537208"/>
          <c:h val="0.66283772912823702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interface!$X$7:$X$17</c:f>
              <c:numCache>
                <c:formatCode>General</c:formatCode>
                <c:ptCount val="11"/>
                <c:pt idx="0">
                  <c:v>1E-3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0.99</c:v>
                </c:pt>
              </c:numCache>
            </c:numRef>
          </c:xVal>
          <c:yVal>
            <c:numRef>
              <c:f>interface!$AN$7:$AN$17</c:f>
              <c:numCache>
                <c:formatCode>0.0E+00</c:formatCode>
                <c:ptCount val="11"/>
                <c:pt idx="0">
                  <c:v>538998.50123884541</c:v>
                </c:pt>
                <c:pt idx="1">
                  <c:v>332153.91862647916</c:v>
                </c:pt>
                <c:pt idx="2">
                  <c:v>285840.1940972482</c:v>
                </c:pt>
                <c:pt idx="3">
                  <c:v>253938.82302649788</c:v>
                </c:pt>
                <c:pt idx="4">
                  <c:v>227873.48184490114</c:v>
                </c:pt>
                <c:pt idx="5">
                  <c:v>204663.49496161914</c:v>
                </c:pt>
                <c:pt idx="6">
                  <c:v>182722.36593032451</c:v>
                </c:pt>
                <c:pt idx="7">
                  <c:v>160832.43366010691</c:v>
                </c:pt>
                <c:pt idx="8">
                  <c:v>137543.52249953226</c:v>
                </c:pt>
                <c:pt idx="9">
                  <c:v>109851.0394495915</c:v>
                </c:pt>
                <c:pt idx="10">
                  <c:v>100078.90498928004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142-4AF2-A082-324468D4D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605199152"/>
        <c:axId val="-605196432"/>
      </c:scatterChart>
      <c:valAx>
        <c:axId val="-605199152"/>
        <c:scaling>
          <c:orientation val="minMax"/>
          <c:max val="1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Relative humidity</a:t>
                </a:r>
              </a:p>
            </c:rich>
          </c:tx>
          <c:layout>
            <c:manualLayout>
              <c:xMode val="edge"/>
              <c:yMode val="edge"/>
              <c:x val="0.45135191884798181"/>
              <c:y val="0.862072183505797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605196432"/>
        <c:crosses val="autoZero"/>
        <c:crossBetween val="midCat"/>
      </c:valAx>
      <c:valAx>
        <c:axId val="-605196432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Moisture capacity (kg/m3.Pa)</a:t>
                </a:r>
              </a:p>
            </c:rich>
          </c:tx>
          <c:layout>
            <c:manualLayout>
              <c:xMode val="edge"/>
              <c:yMode val="edge"/>
              <c:x val="4.3243243243243246E-2"/>
              <c:y val="0.11494293098420169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60519915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 horizontalDpi="1200" verticalDpi="1200"/>
  </c:printSettings>
</c:chartSpace>
</file>

<file path=xl/ctrlProps/ctrlProp1.xml><?xml version="1.0" encoding="utf-8"?>
<formControlPr xmlns="http://schemas.microsoft.com/office/spreadsheetml/2009/9/main" objectType="Drop" dropLines="12" dropStyle="combo" dx="22" fmlaLink="$C$12" fmlaRange="materials_HAMFEM!$C$4:$C$54" noThreeD="1" sel="7" val="6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chart" Target="../charts/chart12.xml"/><Relationship Id="rId5" Type="http://schemas.openxmlformats.org/officeDocument/2006/relationships/chart" Target="../charts/chart6.xml"/><Relationship Id="rId10" Type="http://schemas.openxmlformats.org/officeDocument/2006/relationships/chart" Target="../charts/chart11.xml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552450</xdr:colOff>
      <xdr:row>14</xdr:row>
      <xdr:rowOff>0</xdr:rowOff>
    </xdr:from>
    <xdr:to>
      <xdr:col>23</xdr:col>
      <xdr:colOff>342900</xdr:colOff>
      <xdr:row>29</xdr:row>
      <xdr:rowOff>76200</xdr:rowOff>
    </xdr:to>
    <xdr:graphicFrame macro="">
      <xdr:nvGraphicFramePr>
        <xdr:cNvPr id="4120" name="Chart 18">
          <a:extLst>
            <a:ext uri="{FF2B5EF4-FFF2-40B4-BE49-F238E27FC236}">
              <a16:creationId xmlns:a16="http://schemas.microsoft.com/office/drawing/2014/main" id="{00000000-0008-0000-0000-000018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228600</xdr:colOff>
      <xdr:row>15</xdr:row>
      <xdr:rowOff>47625</xdr:rowOff>
    </xdr:from>
    <xdr:to>
      <xdr:col>9</xdr:col>
      <xdr:colOff>295275</xdr:colOff>
      <xdr:row>30</xdr:row>
      <xdr:rowOff>66675</xdr:rowOff>
    </xdr:to>
    <xdr:graphicFrame macro="">
      <xdr:nvGraphicFramePr>
        <xdr:cNvPr id="2207" name="Chart 1">
          <a:extLst>
            <a:ext uri="{FF2B5EF4-FFF2-40B4-BE49-F238E27FC236}">
              <a16:creationId xmlns:a16="http://schemas.microsoft.com/office/drawing/2014/main" id="{00000000-0008-0000-0100-00009F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247650</xdr:colOff>
      <xdr:row>15</xdr:row>
      <xdr:rowOff>47625</xdr:rowOff>
    </xdr:from>
    <xdr:to>
      <xdr:col>16</xdr:col>
      <xdr:colOff>190500</xdr:colOff>
      <xdr:row>30</xdr:row>
      <xdr:rowOff>95250</xdr:rowOff>
    </xdr:to>
    <xdr:graphicFrame macro="">
      <xdr:nvGraphicFramePr>
        <xdr:cNvPr id="2208" name="Chart 2">
          <a:extLst>
            <a:ext uri="{FF2B5EF4-FFF2-40B4-BE49-F238E27FC236}">
              <a16:creationId xmlns:a16="http://schemas.microsoft.com/office/drawing/2014/main" id="{00000000-0008-0000-0100-0000A0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276225</xdr:colOff>
      <xdr:row>29</xdr:row>
      <xdr:rowOff>104775</xdr:rowOff>
    </xdr:from>
    <xdr:to>
      <xdr:col>16</xdr:col>
      <xdr:colOff>200025</xdr:colOff>
      <xdr:row>44</xdr:row>
      <xdr:rowOff>123825</xdr:rowOff>
    </xdr:to>
    <xdr:graphicFrame macro="">
      <xdr:nvGraphicFramePr>
        <xdr:cNvPr id="2209" name="Chart 3">
          <a:extLst>
            <a:ext uri="{FF2B5EF4-FFF2-40B4-BE49-F238E27FC236}">
              <a16:creationId xmlns:a16="http://schemas.microsoft.com/office/drawing/2014/main" id="{00000000-0008-0000-0100-0000A1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0</xdr:row>
          <xdr:rowOff>95250</xdr:rowOff>
        </xdr:from>
        <xdr:to>
          <xdr:col>7</xdr:col>
          <xdr:colOff>476250</xdr:colOff>
          <xdr:row>1</xdr:row>
          <xdr:rowOff>133350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209550</xdr:colOff>
      <xdr:row>29</xdr:row>
      <xdr:rowOff>104775</xdr:rowOff>
    </xdr:from>
    <xdr:to>
      <xdr:col>9</xdr:col>
      <xdr:colOff>381000</xdr:colOff>
      <xdr:row>44</xdr:row>
      <xdr:rowOff>152400</xdr:rowOff>
    </xdr:to>
    <xdr:graphicFrame macro="">
      <xdr:nvGraphicFramePr>
        <xdr:cNvPr id="2210" name="Chart 5">
          <a:extLst>
            <a:ext uri="{FF2B5EF4-FFF2-40B4-BE49-F238E27FC236}">
              <a16:creationId xmlns:a16="http://schemas.microsoft.com/office/drawing/2014/main" id="{00000000-0008-0000-0100-0000A2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152400</xdr:colOff>
      <xdr:row>44</xdr:row>
      <xdr:rowOff>152400</xdr:rowOff>
    </xdr:from>
    <xdr:to>
      <xdr:col>16</xdr:col>
      <xdr:colOff>228600</xdr:colOff>
      <xdr:row>60</xdr:row>
      <xdr:rowOff>47625</xdr:rowOff>
    </xdr:to>
    <xdr:graphicFrame macro="">
      <xdr:nvGraphicFramePr>
        <xdr:cNvPr id="2211" name="Chart 8">
          <a:extLst>
            <a:ext uri="{FF2B5EF4-FFF2-40B4-BE49-F238E27FC236}">
              <a16:creationId xmlns:a16="http://schemas.microsoft.com/office/drawing/2014/main" id="{00000000-0008-0000-0100-0000A3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</xdr:col>
      <xdr:colOff>95250</xdr:colOff>
      <xdr:row>59</xdr:row>
      <xdr:rowOff>123825</xdr:rowOff>
    </xdr:from>
    <xdr:to>
      <xdr:col>9</xdr:col>
      <xdr:colOff>276225</xdr:colOff>
      <xdr:row>74</xdr:row>
      <xdr:rowOff>85725</xdr:rowOff>
    </xdr:to>
    <xdr:graphicFrame macro="">
      <xdr:nvGraphicFramePr>
        <xdr:cNvPr id="2212" name="Chart 9">
          <a:extLst>
            <a:ext uri="{FF2B5EF4-FFF2-40B4-BE49-F238E27FC236}">
              <a16:creationId xmlns:a16="http://schemas.microsoft.com/office/drawing/2014/main" id="{00000000-0008-0000-0100-0000A4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10</xdr:col>
      <xdr:colOff>257175</xdr:colOff>
      <xdr:row>59</xdr:row>
      <xdr:rowOff>123825</xdr:rowOff>
    </xdr:from>
    <xdr:to>
      <xdr:col>16</xdr:col>
      <xdr:colOff>219075</xdr:colOff>
      <xdr:row>74</xdr:row>
      <xdr:rowOff>142875</xdr:rowOff>
    </xdr:to>
    <xdr:graphicFrame macro="">
      <xdr:nvGraphicFramePr>
        <xdr:cNvPr id="2213" name="Chart 12">
          <a:extLst>
            <a:ext uri="{FF2B5EF4-FFF2-40B4-BE49-F238E27FC236}">
              <a16:creationId xmlns:a16="http://schemas.microsoft.com/office/drawing/2014/main" id="{00000000-0008-0000-0100-0000A5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133350</xdr:colOff>
      <xdr:row>44</xdr:row>
      <xdr:rowOff>104775</xdr:rowOff>
    </xdr:from>
    <xdr:to>
      <xdr:col>9</xdr:col>
      <xdr:colOff>323850</xdr:colOff>
      <xdr:row>59</xdr:row>
      <xdr:rowOff>76200</xdr:rowOff>
    </xdr:to>
    <xdr:graphicFrame macro="">
      <xdr:nvGraphicFramePr>
        <xdr:cNvPr id="2214" name="Chart 16">
          <a:extLst>
            <a:ext uri="{FF2B5EF4-FFF2-40B4-BE49-F238E27FC236}">
              <a16:creationId xmlns:a16="http://schemas.microsoft.com/office/drawing/2014/main" id="{00000000-0008-0000-0100-0000A6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19050</xdr:colOff>
      <xdr:row>44</xdr:row>
      <xdr:rowOff>0</xdr:rowOff>
    </xdr:from>
    <xdr:to>
      <xdr:col>15</xdr:col>
      <xdr:colOff>600075</xdr:colOff>
      <xdr:row>44</xdr:row>
      <xdr:rowOff>0</xdr:rowOff>
    </xdr:to>
    <xdr:sp macro="" textlink="">
      <xdr:nvSpPr>
        <xdr:cNvPr id="2215" name="Line 20">
          <a:extLst>
            <a:ext uri="{FF2B5EF4-FFF2-40B4-BE49-F238E27FC236}">
              <a16:creationId xmlns:a16="http://schemas.microsoft.com/office/drawing/2014/main" id="{00000000-0008-0000-0100-0000A7080000}"/>
            </a:ext>
          </a:extLst>
        </xdr:cNvPr>
        <xdr:cNvSpPr>
          <a:spLocks noChangeShapeType="1"/>
        </xdr:cNvSpPr>
      </xdr:nvSpPr>
      <xdr:spPr bwMode="auto">
        <a:xfrm>
          <a:off x="4295775" y="7181850"/>
          <a:ext cx="728662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19050</xdr:colOff>
      <xdr:row>29</xdr:row>
      <xdr:rowOff>57150</xdr:rowOff>
    </xdr:from>
    <xdr:to>
      <xdr:col>16</xdr:col>
      <xdr:colOff>0</xdr:colOff>
      <xdr:row>29</xdr:row>
      <xdr:rowOff>57150</xdr:rowOff>
    </xdr:to>
    <xdr:sp macro="" textlink="">
      <xdr:nvSpPr>
        <xdr:cNvPr id="2216" name="Line 21">
          <a:extLst>
            <a:ext uri="{FF2B5EF4-FFF2-40B4-BE49-F238E27FC236}">
              <a16:creationId xmlns:a16="http://schemas.microsoft.com/office/drawing/2014/main" id="{00000000-0008-0000-0100-0000A8080000}"/>
            </a:ext>
          </a:extLst>
        </xdr:cNvPr>
        <xdr:cNvSpPr>
          <a:spLocks noChangeShapeType="1"/>
        </xdr:cNvSpPr>
      </xdr:nvSpPr>
      <xdr:spPr bwMode="auto">
        <a:xfrm>
          <a:off x="4295775" y="4810125"/>
          <a:ext cx="72961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371475</xdr:colOff>
      <xdr:row>59</xdr:row>
      <xdr:rowOff>9525</xdr:rowOff>
    </xdr:from>
    <xdr:to>
      <xdr:col>16</xdr:col>
      <xdr:colOff>19050</xdr:colOff>
      <xdr:row>59</xdr:row>
      <xdr:rowOff>9525</xdr:rowOff>
    </xdr:to>
    <xdr:sp macro="" textlink="">
      <xdr:nvSpPr>
        <xdr:cNvPr id="2217" name="Line 22">
          <a:extLst>
            <a:ext uri="{FF2B5EF4-FFF2-40B4-BE49-F238E27FC236}">
              <a16:creationId xmlns:a16="http://schemas.microsoft.com/office/drawing/2014/main" id="{00000000-0008-0000-0100-0000A9080000}"/>
            </a:ext>
          </a:extLst>
        </xdr:cNvPr>
        <xdr:cNvSpPr>
          <a:spLocks noChangeShapeType="1"/>
        </xdr:cNvSpPr>
      </xdr:nvSpPr>
      <xdr:spPr bwMode="auto">
        <a:xfrm>
          <a:off x="4276725" y="9620250"/>
          <a:ext cx="73342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0</xdr:colOff>
      <xdr:row>14</xdr:row>
      <xdr:rowOff>133350</xdr:rowOff>
    </xdr:from>
    <xdr:to>
      <xdr:col>10</xdr:col>
      <xdr:colOff>0</xdr:colOff>
      <xdr:row>29</xdr:row>
      <xdr:rowOff>9525</xdr:rowOff>
    </xdr:to>
    <xdr:sp macro="" textlink="">
      <xdr:nvSpPr>
        <xdr:cNvPr id="2218" name="Line 23">
          <a:extLst>
            <a:ext uri="{FF2B5EF4-FFF2-40B4-BE49-F238E27FC236}">
              <a16:creationId xmlns:a16="http://schemas.microsoft.com/office/drawing/2014/main" id="{00000000-0008-0000-0100-0000AA080000}"/>
            </a:ext>
          </a:extLst>
        </xdr:cNvPr>
        <xdr:cNvSpPr>
          <a:spLocks noChangeShapeType="1"/>
        </xdr:cNvSpPr>
      </xdr:nvSpPr>
      <xdr:spPr bwMode="auto">
        <a:xfrm flipV="1">
          <a:off x="7934325" y="2438400"/>
          <a:ext cx="0" cy="23241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228600</xdr:colOff>
      <xdr:row>93</xdr:row>
      <xdr:rowOff>85725</xdr:rowOff>
    </xdr:from>
    <xdr:to>
      <xdr:col>16</xdr:col>
      <xdr:colOff>342900</xdr:colOff>
      <xdr:row>108</xdr:row>
      <xdr:rowOff>133350</xdr:rowOff>
    </xdr:to>
    <xdr:graphicFrame macro="">
      <xdr:nvGraphicFramePr>
        <xdr:cNvPr id="2219" name="Chart 24">
          <a:extLst>
            <a:ext uri="{FF2B5EF4-FFF2-40B4-BE49-F238E27FC236}">
              <a16:creationId xmlns:a16="http://schemas.microsoft.com/office/drawing/2014/main" id="{00000000-0008-0000-0100-0000AB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4</xdr:col>
      <xdr:colOff>0</xdr:colOff>
      <xdr:row>74</xdr:row>
      <xdr:rowOff>19050</xdr:rowOff>
    </xdr:from>
    <xdr:to>
      <xdr:col>16</xdr:col>
      <xdr:colOff>19050</xdr:colOff>
      <xdr:row>74</xdr:row>
      <xdr:rowOff>19050</xdr:rowOff>
    </xdr:to>
    <xdr:sp macro="" textlink="">
      <xdr:nvSpPr>
        <xdr:cNvPr id="2220" name="Line 25">
          <a:extLst>
            <a:ext uri="{FF2B5EF4-FFF2-40B4-BE49-F238E27FC236}">
              <a16:creationId xmlns:a16="http://schemas.microsoft.com/office/drawing/2014/main" id="{00000000-0008-0000-0100-0000AC080000}"/>
            </a:ext>
          </a:extLst>
        </xdr:cNvPr>
        <xdr:cNvSpPr>
          <a:spLocks noChangeShapeType="1"/>
        </xdr:cNvSpPr>
      </xdr:nvSpPr>
      <xdr:spPr bwMode="auto">
        <a:xfrm>
          <a:off x="4276725" y="12058650"/>
          <a:ext cx="73342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219075</xdr:colOff>
      <xdr:row>74</xdr:row>
      <xdr:rowOff>38100</xdr:rowOff>
    </xdr:from>
    <xdr:to>
      <xdr:col>9</xdr:col>
      <xdr:colOff>228600</xdr:colOff>
      <xdr:row>88</xdr:row>
      <xdr:rowOff>104775</xdr:rowOff>
    </xdr:to>
    <xdr:graphicFrame macro="">
      <xdr:nvGraphicFramePr>
        <xdr:cNvPr id="2221" name="Chart 27">
          <a:extLst>
            <a:ext uri="{FF2B5EF4-FFF2-40B4-BE49-F238E27FC236}">
              <a16:creationId xmlns:a16="http://schemas.microsoft.com/office/drawing/2014/main" id="{00000000-0008-0000-0100-0000AD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10</xdr:col>
      <xdr:colOff>419100</xdr:colOff>
      <xdr:row>73</xdr:row>
      <xdr:rowOff>114300</xdr:rowOff>
    </xdr:from>
    <xdr:to>
      <xdr:col>16</xdr:col>
      <xdr:colOff>361950</xdr:colOff>
      <xdr:row>89</xdr:row>
      <xdr:rowOff>9525</xdr:rowOff>
    </xdr:to>
    <xdr:graphicFrame macro="">
      <xdr:nvGraphicFramePr>
        <xdr:cNvPr id="2222" name="Chart 28">
          <a:extLst>
            <a:ext uri="{FF2B5EF4-FFF2-40B4-BE49-F238E27FC236}">
              <a16:creationId xmlns:a16="http://schemas.microsoft.com/office/drawing/2014/main" id="{00000000-0008-0000-0100-0000AE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</xdr:col>
      <xdr:colOff>9525</xdr:colOff>
      <xdr:row>43</xdr:row>
      <xdr:rowOff>152400</xdr:rowOff>
    </xdr:from>
    <xdr:to>
      <xdr:col>9</xdr:col>
      <xdr:colOff>552450</xdr:colOff>
      <xdr:row>45</xdr:row>
      <xdr:rowOff>85725</xdr:rowOff>
    </xdr:to>
    <xdr:sp macro="" textlink="">
      <xdr:nvSpPr>
        <xdr:cNvPr id="2078" name="Text Box 30">
          <a:extLst>
            <a:ext uri="{FF2B5EF4-FFF2-40B4-BE49-F238E27FC236}">
              <a16:creationId xmlns:a16="http://schemas.microsoft.com/office/drawing/2014/main" id="{00000000-0008-0000-0100-00001E080000}"/>
            </a:ext>
          </a:extLst>
        </xdr:cNvPr>
        <xdr:cNvSpPr txBox="1">
          <a:spLocks noChangeArrowheads="1"/>
        </xdr:cNvSpPr>
      </xdr:nvSpPr>
      <xdr:spPr bwMode="auto">
        <a:xfrm>
          <a:off x="4286250" y="7172325"/>
          <a:ext cx="3590925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GB" sz="1000" b="1" i="0" u="none" strike="noStrike" baseline="0">
              <a:solidFill>
                <a:srgbClr val="808080"/>
              </a:solidFill>
              <a:latin typeface="Arial"/>
              <a:cs typeface="Arial"/>
            </a:rPr>
            <a:t>Vapour diffusion</a:t>
          </a:r>
        </a:p>
      </xdr:txBody>
    </xdr:sp>
    <xdr:clientData/>
  </xdr:twoCellAnchor>
  <xdr:twoCellAnchor>
    <xdr:from>
      <xdr:col>4</xdr:col>
      <xdr:colOff>9525</xdr:colOff>
      <xdr:row>14</xdr:row>
      <xdr:rowOff>133350</xdr:rowOff>
    </xdr:from>
    <xdr:to>
      <xdr:col>9</xdr:col>
      <xdr:colOff>552450</xdr:colOff>
      <xdr:row>16</xdr:row>
      <xdr:rowOff>57150</xdr:rowOff>
    </xdr:to>
    <xdr:sp macro="" textlink="">
      <xdr:nvSpPr>
        <xdr:cNvPr id="2079" name="Text Box 31">
          <a:extLst>
            <a:ext uri="{FF2B5EF4-FFF2-40B4-BE49-F238E27FC236}">
              <a16:creationId xmlns:a16="http://schemas.microsoft.com/office/drawing/2014/main" id="{00000000-0008-0000-0100-00001F080000}"/>
            </a:ext>
          </a:extLst>
        </xdr:cNvPr>
        <xdr:cNvSpPr txBox="1">
          <a:spLocks noChangeArrowheads="1"/>
        </xdr:cNvSpPr>
      </xdr:nvSpPr>
      <xdr:spPr bwMode="auto">
        <a:xfrm>
          <a:off x="4286250" y="2438400"/>
          <a:ext cx="3590925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GB" sz="1000" b="1" i="0" u="none" strike="noStrike" baseline="0">
              <a:solidFill>
                <a:srgbClr val="808080"/>
              </a:solidFill>
              <a:latin typeface="Arial"/>
              <a:cs typeface="Arial"/>
            </a:rPr>
            <a:t>Conductivity</a:t>
          </a:r>
        </a:p>
      </xdr:txBody>
    </xdr:sp>
    <xdr:clientData/>
  </xdr:twoCellAnchor>
  <xdr:twoCellAnchor>
    <xdr:from>
      <xdr:col>10</xdr:col>
      <xdr:colOff>95250</xdr:colOff>
      <xdr:row>14</xdr:row>
      <xdr:rowOff>133350</xdr:rowOff>
    </xdr:from>
    <xdr:to>
      <xdr:col>16</xdr:col>
      <xdr:colOff>28575</xdr:colOff>
      <xdr:row>16</xdr:row>
      <xdr:rowOff>57150</xdr:rowOff>
    </xdr:to>
    <xdr:sp macro="" textlink="">
      <xdr:nvSpPr>
        <xdr:cNvPr id="2080" name="Text Box 32">
          <a:extLst>
            <a:ext uri="{FF2B5EF4-FFF2-40B4-BE49-F238E27FC236}">
              <a16:creationId xmlns:a16="http://schemas.microsoft.com/office/drawing/2014/main" id="{00000000-0008-0000-0100-000020080000}"/>
            </a:ext>
          </a:extLst>
        </xdr:cNvPr>
        <xdr:cNvSpPr txBox="1">
          <a:spLocks noChangeArrowheads="1"/>
        </xdr:cNvSpPr>
      </xdr:nvSpPr>
      <xdr:spPr bwMode="auto">
        <a:xfrm>
          <a:off x="8029575" y="2438400"/>
          <a:ext cx="3590925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GB" sz="1000" b="1" i="0" u="none" strike="noStrike" baseline="0">
              <a:solidFill>
                <a:srgbClr val="808080"/>
              </a:solidFill>
              <a:latin typeface="Arial"/>
              <a:cs typeface="Arial"/>
            </a:rPr>
            <a:t>Thermal capacity</a:t>
          </a:r>
        </a:p>
      </xdr:txBody>
    </xdr:sp>
    <xdr:clientData/>
  </xdr:twoCellAnchor>
  <xdr:twoCellAnchor>
    <xdr:from>
      <xdr:col>3</xdr:col>
      <xdr:colOff>371475</xdr:colOff>
      <xdr:row>29</xdr:row>
      <xdr:rowOff>66675</xdr:rowOff>
    </xdr:from>
    <xdr:to>
      <xdr:col>9</xdr:col>
      <xdr:colOff>533400</xdr:colOff>
      <xdr:row>31</xdr:row>
      <xdr:rowOff>0</xdr:rowOff>
    </xdr:to>
    <xdr:sp macro="" textlink="">
      <xdr:nvSpPr>
        <xdr:cNvPr id="2081" name="Text Box 33">
          <a:extLst>
            <a:ext uri="{FF2B5EF4-FFF2-40B4-BE49-F238E27FC236}">
              <a16:creationId xmlns:a16="http://schemas.microsoft.com/office/drawing/2014/main" id="{00000000-0008-0000-0100-000021080000}"/>
            </a:ext>
          </a:extLst>
        </xdr:cNvPr>
        <xdr:cNvSpPr txBox="1">
          <a:spLocks noChangeArrowheads="1"/>
        </xdr:cNvSpPr>
      </xdr:nvSpPr>
      <xdr:spPr bwMode="auto">
        <a:xfrm>
          <a:off x="4276725" y="4819650"/>
          <a:ext cx="358140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GB" sz="1000" b="1" i="0" u="none" strike="noStrike" baseline="0">
              <a:solidFill>
                <a:srgbClr val="808080"/>
              </a:solidFill>
              <a:latin typeface="Arial"/>
              <a:cs typeface="Arial"/>
            </a:rPr>
            <a:t>Sorption isotherm</a:t>
          </a:r>
        </a:p>
      </xdr:txBody>
    </xdr:sp>
    <xdr:clientData/>
  </xdr:twoCellAnchor>
  <xdr:twoCellAnchor>
    <xdr:from>
      <xdr:col>3</xdr:col>
      <xdr:colOff>371475</xdr:colOff>
      <xdr:row>59</xdr:row>
      <xdr:rowOff>9525</xdr:rowOff>
    </xdr:from>
    <xdr:to>
      <xdr:col>9</xdr:col>
      <xdr:colOff>533400</xdr:colOff>
      <xdr:row>60</xdr:row>
      <xdr:rowOff>104775</xdr:rowOff>
    </xdr:to>
    <xdr:sp macro="" textlink="">
      <xdr:nvSpPr>
        <xdr:cNvPr id="2082" name="Text Box 34">
          <a:extLst>
            <a:ext uri="{FF2B5EF4-FFF2-40B4-BE49-F238E27FC236}">
              <a16:creationId xmlns:a16="http://schemas.microsoft.com/office/drawing/2014/main" id="{00000000-0008-0000-0100-000022080000}"/>
            </a:ext>
          </a:extLst>
        </xdr:cNvPr>
        <xdr:cNvSpPr txBox="1">
          <a:spLocks noChangeArrowheads="1"/>
        </xdr:cNvSpPr>
      </xdr:nvSpPr>
      <xdr:spPr bwMode="auto">
        <a:xfrm>
          <a:off x="4276725" y="9620250"/>
          <a:ext cx="358140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GB" sz="1000" b="1" i="0" u="none" strike="noStrike" baseline="0">
              <a:solidFill>
                <a:srgbClr val="808080"/>
              </a:solidFill>
              <a:latin typeface="Arial"/>
              <a:cs typeface="Arial"/>
            </a:rPr>
            <a:t>Liquid permeability</a:t>
          </a:r>
        </a:p>
      </xdr:txBody>
    </xdr:sp>
    <xdr:clientData/>
  </xdr:twoCellAnchor>
  <xdr:twoCellAnchor>
    <xdr:from>
      <xdr:col>3</xdr:col>
      <xdr:colOff>371475</xdr:colOff>
      <xdr:row>74</xdr:row>
      <xdr:rowOff>28575</xdr:rowOff>
    </xdr:from>
    <xdr:to>
      <xdr:col>9</xdr:col>
      <xdr:colOff>533400</xdr:colOff>
      <xdr:row>75</xdr:row>
      <xdr:rowOff>123825</xdr:rowOff>
    </xdr:to>
    <xdr:sp macro="" textlink="">
      <xdr:nvSpPr>
        <xdr:cNvPr id="2083" name="Text Box 35">
          <a:extLst>
            <a:ext uri="{FF2B5EF4-FFF2-40B4-BE49-F238E27FC236}">
              <a16:creationId xmlns:a16="http://schemas.microsoft.com/office/drawing/2014/main" id="{00000000-0008-0000-0100-000023080000}"/>
            </a:ext>
          </a:extLst>
        </xdr:cNvPr>
        <xdr:cNvSpPr txBox="1">
          <a:spLocks noChangeArrowheads="1"/>
        </xdr:cNvSpPr>
      </xdr:nvSpPr>
      <xdr:spPr bwMode="auto">
        <a:xfrm>
          <a:off x="4276725" y="12068175"/>
          <a:ext cx="358140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GB" sz="1000" b="1" i="0" u="none" strike="noStrike" baseline="0">
              <a:solidFill>
                <a:srgbClr val="808080"/>
              </a:solidFill>
              <a:latin typeface="Arial"/>
              <a:cs typeface="Arial"/>
            </a:rPr>
            <a:t>Moisture capacity</a:t>
          </a:r>
        </a:p>
      </xdr:txBody>
    </xdr:sp>
    <xdr:clientData/>
  </xdr:twoCellAnchor>
  <xdr:twoCellAnchor>
    <xdr:from>
      <xdr:col>4</xdr:col>
      <xdr:colOff>19050</xdr:colOff>
      <xdr:row>88</xdr:row>
      <xdr:rowOff>95250</xdr:rowOff>
    </xdr:from>
    <xdr:to>
      <xdr:col>16</xdr:col>
      <xdr:colOff>38100</xdr:colOff>
      <xdr:row>88</xdr:row>
      <xdr:rowOff>95250</xdr:rowOff>
    </xdr:to>
    <xdr:sp macro="" textlink="">
      <xdr:nvSpPr>
        <xdr:cNvPr id="2229" name="Line 37">
          <a:extLst>
            <a:ext uri="{FF2B5EF4-FFF2-40B4-BE49-F238E27FC236}">
              <a16:creationId xmlns:a16="http://schemas.microsoft.com/office/drawing/2014/main" id="{00000000-0008-0000-0100-0000B5080000}"/>
            </a:ext>
          </a:extLst>
        </xdr:cNvPr>
        <xdr:cNvSpPr>
          <a:spLocks noChangeShapeType="1"/>
        </xdr:cNvSpPr>
      </xdr:nvSpPr>
      <xdr:spPr bwMode="auto">
        <a:xfrm>
          <a:off x="4295775" y="14401800"/>
          <a:ext cx="73342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9525</xdr:colOff>
      <xdr:row>14</xdr:row>
      <xdr:rowOff>114300</xdr:rowOff>
    </xdr:from>
    <xdr:to>
      <xdr:col>15</xdr:col>
      <xdr:colOff>600075</xdr:colOff>
      <xdr:row>14</xdr:row>
      <xdr:rowOff>114300</xdr:rowOff>
    </xdr:to>
    <xdr:sp macro="" textlink="">
      <xdr:nvSpPr>
        <xdr:cNvPr id="2230" name="Line 38">
          <a:extLst>
            <a:ext uri="{FF2B5EF4-FFF2-40B4-BE49-F238E27FC236}">
              <a16:creationId xmlns:a16="http://schemas.microsoft.com/office/drawing/2014/main" id="{00000000-0008-0000-0100-0000B6080000}"/>
            </a:ext>
          </a:extLst>
        </xdr:cNvPr>
        <xdr:cNvSpPr>
          <a:spLocks noChangeShapeType="1"/>
        </xdr:cNvSpPr>
      </xdr:nvSpPr>
      <xdr:spPr bwMode="auto">
        <a:xfrm>
          <a:off x="4286250" y="2419350"/>
          <a:ext cx="72961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hb15192/Documents/Strathclyde-old/software-development/hamfem/Hamfem/databases/hamstad-brick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olisterene-sorption"/>
      <sheetName val="concrete-sorption"/>
      <sheetName val="brick-sorption"/>
      <sheetName val="brick-vapor"/>
      <sheetName val="Sheet3"/>
    </sheetNames>
    <sheetDataSet>
      <sheetData sheetId="0" refreshError="1"/>
      <sheetData sheetId="1" refreshError="1"/>
      <sheetData sheetId="2" refreshError="1"/>
      <sheetData sheetId="3" refreshError="1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F253"/>
  <sheetViews>
    <sheetView showGridLines="0" workbookViewId="0">
      <selection activeCell="AA17" sqref="AA17"/>
    </sheetView>
  </sheetViews>
  <sheetFormatPr defaultRowHeight="12.75" x14ac:dyDescent="0.2"/>
  <cols>
    <col min="1" max="1" width="4.7109375" style="31" customWidth="1"/>
    <col min="2" max="2" width="21.42578125" customWidth="1"/>
    <col min="3" max="3" width="27.42578125" customWidth="1"/>
    <col min="6" max="6" width="11.85546875" customWidth="1"/>
    <col min="8" max="13" width="0" hidden="1" customWidth="1"/>
    <col min="15" max="20" width="0" hidden="1" customWidth="1"/>
    <col min="29" max="29" width="11.85546875" customWidth="1"/>
    <col min="30" max="30" width="12.7109375" customWidth="1"/>
    <col min="32" max="32" width="12.42578125" bestFit="1" customWidth="1"/>
    <col min="33" max="33" width="9" bestFit="1" customWidth="1"/>
    <col min="34" max="35" width="12.42578125" bestFit="1" customWidth="1"/>
    <col min="39" max="39" width="10.5703125" customWidth="1"/>
    <col min="40" max="40" width="12.42578125" bestFit="1" customWidth="1"/>
    <col min="41" max="41" width="10" bestFit="1" customWidth="1"/>
    <col min="42" max="42" width="10" customWidth="1"/>
    <col min="45" max="46" width="10.85546875" customWidth="1"/>
    <col min="48" max="48" width="10.42578125" bestFit="1" customWidth="1"/>
    <col min="49" max="49" width="12.5703125" bestFit="1" customWidth="1"/>
    <col min="58" max="58" width="12.42578125" bestFit="1" customWidth="1"/>
  </cols>
  <sheetData>
    <row r="1" spans="1:58" ht="14.25" customHeight="1" x14ac:dyDescent="0.2">
      <c r="V1" s="37" t="s">
        <v>153</v>
      </c>
      <c r="W1" s="37">
        <v>100</v>
      </c>
    </row>
    <row r="2" spans="1:58" ht="13.5" thickBot="1" x14ac:dyDescent="0.25">
      <c r="B2" t="s">
        <v>94</v>
      </c>
      <c r="C2">
        <v>20</v>
      </c>
      <c r="W2" t="s">
        <v>152</v>
      </c>
      <c r="X2" t="s">
        <v>151</v>
      </c>
    </row>
    <row r="3" spans="1:58" ht="13.5" thickBot="1" x14ac:dyDescent="0.25">
      <c r="B3" t="s">
        <v>95</v>
      </c>
      <c r="C3">
        <v>461.89</v>
      </c>
      <c r="E3" s="39" t="s">
        <v>97</v>
      </c>
      <c r="F3" s="40" t="s">
        <v>93</v>
      </c>
      <c r="G3" s="40" t="s">
        <v>100</v>
      </c>
      <c r="H3" s="40" t="s">
        <v>140</v>
      </c>
      <c r="I3" s="40" t="s">
        <v>98</v>
      </c>
      <c r="J3" s="40" t="s">
        <v>141</v>
      </c>
      <c r="K3" s="41" t="s">
        <v>104</v>
      </c>
      <c r="L3" s="40" t="s">
        <v>142</v>
      </c>
      <c r="M3" s="41" t="s">
        <v>105</v>
      </c>
      <c r="N3" s="40" t="s">
        <v>99</v>
      </c>
      <c r="O3" s="40" t="s">
        <v>98</v>
      </c>
      <c r="P3" s="40" t="s">
        <v>143</v>
      </c>
      <c r="Q3" s="41" t="s">
        <v>104</v>
      </c>
      <c r="R3" s="40" t="s">
        <v>144</v>
      </c>
      <c r="S3" s="41" t="s">
        <v>105</v>
      </c>
      <c r="T3" s="40" t="s">
        <v>145</v>
      </c>
      <c r="U3" s="40" t="s">
        <v>149</v>
      </c>
      <c r="V3" s="40" t="s">
        <v>147</v>
      </c>
      <c r="W3" s="40" t="s">
        <v>146</v>
      </c>
      <c r="X3" s="42" t="s">
        <v>146</v>
      </c>
      <c r="Y3" s="42" t="s">
        <v>150</v>
      </c>
      <c r="Z3" s="43" t="s">
        <v>137</v>
      </c>
    </row>
    <row r="4" spans="1:58" x14ac:dyDescent="0.2">
      <c r="B4" t="s">
        <v>96</v>
      </c>
      <c r="C4">
        <v>1000</v>
      </c>
      <c r="E4" s="38">
        <v>0.84024990236586128</v>
      </c>
      <c r="F4" s="29">
        <f t="shared" ref="F4:F11" si="0">($C$2+273.3)*$C$3*$C$4*LN($E4)</f>
        <v>-23579763.412552241</v>
      </c>
      <c r="G4" s="4">
        <f t="shared" ref="G4:G11" si="1">LOG(-F4)</f>
        <v>7.3725394432892442</v>
      </c>
      <c r="H4" s="5">
        <f t="shared" ref="H4:H11" si="2">($C$23*$F4)^$C$24</f>
        <v>441.78587430111054</v>
      </c>
      <c r="I4" s="29">
        <f t="shared" ref="I4:I11" si="3">$C$26/((1+($C$23*$F4)^$C$24)^$C$25)</f>
        <v>6.5733609887081114E-3</v>
      </c>
      <c r="J4" s="5">
        <f t="shared" ref="J4:J11" si="4">($C$29*$F4)^$C$30</f>
        <v>2224.0209703677488</v>
      </c>
      <c r="K4" s="1">
        <f t="shared" ref="K4:K11" si="5">IF($C$22=2,($C$32/(1+($C$29*$F4)^$C$30)^$C$31),0)</f>
        <v>0</v>
      </c>
      <c r="L4" s="5">
        <f t="shared" ref="L4:L11" si="6">($C$33*$F4)^$C$34</f>
        <v>297258788.48200023</v>
      </c>
      <c r="M4">
        <f t="shared" ref="M4:M11" si="7">IF($C$22=3,($C$36/(1+($C$33*$F4)^$C$34)^$C$35),0)</f>
        <v>1.6546122656733576E-7</v>
      </c>
      <c r="N4" s="4">
        <f t="shared" ref="N4:N11" si="8">$C$28*(K4+I4+M4)</f>
        <v>5.876732646241603</v>
      </c>
      <c r="O4" s="29">
        <f t="shared" ref="O4:O11" si="9">(1+H4)^$C$25</f>
        <v>7.6064588702630651</v>
      </c>
      <c r="P4" s="29">
        <f t="shared" ref="P4:P11" si="10">-$C$26/O4*$C$25*$C$24*H4/(1+H4)*$F4</f>
        <v>77246.798103306137</v>
      </c>
      <c r="Q4" s="29">
        <f t="shared" ref="Q4:Q11" si="11">(1+J4)^$C$31</f>
        <v>47.170127945212833</v>
      </c>
      <c r="R4" s="29">
        <f t="shared" ref="R4:R11" si="12">P4-$C$32/Q4*$C$31*$C$30*J4/(1+J4)*$F4</f>
        <v>127213.09434344026</v>
      </c>
      <c r="S4" s="29">
        <f t="shared" ref="S4:S11" si="13">(1+L4)^$C$35</f>
        <v>5137155.1972273439</v>
      </c>
      <c r="T4" s="29">
        <f t="shared" ref="T4:T11" si="14">R4-$C$36/S4*$C$35*$C$34*L4/(1+L4)*$F4</f>
        <v>127227.92642483924</v>
      </c>
      <c r="U4" s="29">
        <f t="shared" ref="U4:U11" si="15">IF($C$22=1,P4,IF($C$22=2,R4,T4))</f>
        <v>127227.92642483924</v>
      </c>
      <c r="V4" s="45">
        <f t="shared" ref="V4:V11" si="16">W4-N4</f>
        <v>4.123267353758397</v>
      </c>
      <c r="W4" s="4">
        <f>X4*W$1</f>
        <v>10</v>
      </c>
      <c r="X4" s="44">
        <v>0.1</v>
      </c>
      <c r="Y4" s="36">
        <v>1.4999999999999999E-8</v>
      </c>
      <c r="Z4" s="29">
        <f t="shared" ref="Z4:Z11" si="17">Y4*U4</f>
        <v>1.9084188963725884E-3</v>
      </c>
      <c r="AA4" s="29"/>
    </row>
    <row r="5" spans="1:58" x14ac:dyDescent="0.2">
      <c r="E5" s="38">
        <v>0.9885589143706498</v>
      </c>
      <c r="F5" s="29">
        <f t="shared" si="0"/>
        <v>-1558885.3812167766</v>
      </c>
      <c r="G5" s="4">
        <f t="shared" si="1"/>
        <v>6.1928141843774025</v>
      </c>
      <c r="H5" s="5">
        <f t="shared" si="2"/>
        <v>7.5097233302241486</v>
      </c>
      <c r="I5" s="29">
        <f t="shared" si="3"/>
        <v>2.450801642204305E-2</v>
      </c>
      <c r="J5" s="5">
        <f t="shared" si="4"/>
        <v>9.7204945270854974</v>
      </c>
      <c r="K5" s="1">
        <f t="shared" si="5"/>
        <v>0</v>
      </c>
      <c r="L5" s="5">
        <f t="shared" si="6"/>
        <v>646.3287291877208</v>
      </c>
      <c r="M5">
        <f t="shared" si="7"/>
        <v>5.0467061619466078E-3</v>
      </c>
      <c r="N5" s="4">
        <f t="shared" si="8"/>
        <v>26.421921990086755</v>
      </c>
      <c r="O5" s="29">
        <f t="shared" si="9"/>
        <v>2.0401487880116198</v>
      </c>
      <c r="P5" s="29">
        <f t="shared" si="10"/>
        <v>16840.940302534218</v>
      </c>
      <c r="Q5" s="29">
        <f t="shared" si="11"/>
        <v>3.2742166280021086</v>
      </c>
      <c r="R5" s="29">
        <f t="shared" si="12"/>
        <v>60010.768001966957</v>
      </c>
      <c r="S5" s="29">
        <f t="shared" si="13"/>
        <v>168.42668717453907</v>
      </c>
      <c r="T5" s="29">
        <f t="shared" si="14"/>
        <v>89872.651809676332</v>
      </c>
      <c r="U5" s="29">
        <f t="shared" si="15"/>
        <v>89872.651809676332</v>
      </c>
      <c r="V5" s="45">
        <f t="shared" si="16"/>
        <v>3.578078009913245</v>
      </c>
      <c r="W5" s="4">
        <f t="shared" ref="W5:W11" si="18">X5*W$1</f>
        <v>30</v>
      </c>
      <c r="X5" s="44">
        <v>0.3</v>
      </c>
      <c r="Y5" s="36">
        <v>2.4E-8</v>
      </c>
      <c r="Z5" s="29">
        <f t="shared" si="17"/>
        <v>2.1569436434322321E-3</v>
      </c>
      <c r="AA5" s="29"/>
    </row>
    <row r="6" spans="1:58" x14ac:dyDescent="0.2">
      <c r="E6" s="38">
        <v>0.99845534519025425</v>
      </c>
      <c r="F6" s="29">
        <f t="shared" si="0"/>
        <v>-209419.77924027527</v>
      </c>
      <c r="G6" s="4">
        <f t="shared" si="1"/>
        <v>5.3210176974442609</v>
      </c>
      <c r="H6" s="5">
        <f t="shared" si="2"/>
        <v>0.36976789999386683</v>
      </c>
      <c r="I6" s="29">
        <f t="shared" si="3"/>
        <v>4.5026330883374883E-2</v>
      </c>
      <c r="J6" s="5">
        <f t="shared" si="4"/>
        <v>0.17542657574818246</v>
      </c>
      <c r="K6" s="1">
        <f t="shared" si="5"/>
        <v>0</v>
      </c>
      <c r="L6" s="5">
        <f t="shared" si="6"/>
        <v>4.2250351206555209E-2</v>
      </c>
      <c r="M6">
        <f t="shared" si="7"/>
        <v>0.82259309947394443</v>
      </c>
      <c r="N6" s="4">
        <f t="shared" si="8"/>
        <v>775.65177073944346</v>
      </c>
      <c r="O6" s="29">
        <f t="shared" si="9"/>
        <v>1.1104613460401134</v>
      </c>
      <c r="P6" s="29">
        <f t="shared" si="10"/>
        <v>1271.4578599191605</v>
      </c>
      <c r="Q6" s="29">
        <f t="shared" si="11"/>
        <v>1.0841709162988014</v>
      </c>
      <c r="R6" s="29">
        <f t="shared" si="12"/>
        <v>4154.2931192932547</v>
      </c>
      <c r="S6" s="29">
        <f t="shared" si="13"/>
        <v>1.0333176883486896</v>
      </c>
      <c r="T6" s="29">
        <f t="shared" si="14"/>
        <v>30702.026761729408</v>
      </c>
      <c r="U6" s="29">
        <f t="shared" si="15"/>
        <v>30702.026761729408</v>
      </c>
      <c r="V6" s="45">
        <f t="shared" si="16"/>
        <v>-695.65177073944346</v>
      </c>
      <c r="W6" s="4">
        <f t="shared" si="18"/>
        <v>80</v>
      </c>
      <c r="X6" s="44">
        <v>0.8</v>
      </c>
      <c r="Y6" s="36">
        <v>2.1999999999999999E-10</v>
      </c>
      <c r="Z6" s="29">
        <f t="shared" si="17"/>
        <v>6.7544458875804693E-6</v>
      </c>
      <c r="AA6" s="29"/>
      <c r="AM6" s="11"/>
    </row>
    <row r="7" spans="1:58" x14ac:dyDescent="0.2">
      <c r="A7" s="31">
        <v>1</v>
      </c>
      <c r="B7" s="11" t="s">
        <v>127</v>
      </c>
      <c r="C7" s="8" t="str">
        <f>INDEX(materials_HAMFEM!$C$4:$AU$55,interface!$C$12,A7)</f>
        <v>'calcium silicate'</v>
      </c>
      <c r="E7" s="38">
        <v>0.99999999996238609</v>
      </c>
      <c r="F7" s="29">
        <f t="shared" si="0"/>
        <v>-5.095644560428346E-3</v>
      </c>
      <c r="G7" s="4">
        <f t="shared" si="1"/>
        <v>-2.2928008732214242</v>
      </c>
      <c r="H7" s="5">
        <f t="shared" si="2"/>
        <v>1.4034642382281522E-12</v>
      </c>
      <c r="I7" s="29">
        <f t="shared" si="3"/>
        <v>4.9999999999976633E-2</v>
      </c>
      <c r="J7" s="5">
        <f t="shared" si="4"/>
        <v>1.0386237394489196E-16</v>
      </c>
      <c r="K7" s="1">
        <f t="shared" si="5"/>
        <v>0</v>
      </c>
      <c r="L7" s="5">
        <f t="shared" si="6"/>
        <v>1.2008843474416564E-38</v>
      </c>
      <c r="M7">
        <f t="shared" si="7"/>
        <v>0.85</v>
      </c>
      <c r="N7" s="4">
        <f t="shared" si="8"/>
        <v>804.5999999999791</v>
      </c>
      <c r="O7" s="29">
        <f t="shared" si="9"/>
        <v>1.0000000000004674</v>
      </c>
      <c r="P7" s="29">
        <f t="shared" si="10"/>
        <v>1.7861008390895869E-16</v>
      </c>
      <c r="Q7" s="29">
        <f t="shared" si="11"/>
        <v>1</v>
      </c>
      <c r="R7" s="29">
        <f t="shared" si="12"/>
        <v>1.7866300848304124E-16</v>
      </c>
      <c r="S7" s="29">
        <f t="shared" si="13"/>
        <v>1</v>
      </c>
      <c r="T7" s="29">
        <f t="shared" si="14"/>
        <v>1.7866300848304124E-16</v>
      </c>
      <c r="U7" s="29">
        <f t="shared" si="15"/>
        <v>1.7866300848304124E-16</v>
      </c>
      <c r="V7" s="45">
        <f t="shared" si="16"/>
        <v>-684.5999999999791</v>
      </c>
      <c r="W7" s="4">
        <f t="shared" si="18"/>
        <v>120</v>
      </c>
      <c r="X7" s="44">
        <v>1.2</v>
      </c>
      <c r="Y7" s="36">
        <v>1.5999999999999999E-10</v>
      </c>
      <c r="Z7" s="29">
        <f t="shared" si="17"/>
        <v>2.8586081357286596E-26</v>
      </c>
      <c r="AA7" s="29"/>
      <c r="AK7" s="11"/>
      <c r="AM7" s="70"/>
      <c r="AN7" s="70"/>
      <c r="AO7" s="70"/>
      <c r="AP7" s="70"/>
      <c r="AQ7" s="70"/>
      <c r="AR7" s="70"/>
      <c r="AS7" s="70"/>
      <c r="AT7" s="70"/>
      <c r="AU7" s="70"/>
      <c r="AV7" s="70"/>
      <c r="AW7" s="70"/>
      <c r="AX7" s="70"/>
      <c r="AZ7" s="11"/>
      <c r="BA7" s="11"/>
    </row>
    <row r="8" spans="1:58" x14ac:dyDescent="0.2">
      <c r="A8" s="31">
        <v>2</v>
      </c>
      <c r="B8" s="11" t="s">
        <v>128</v>
      </c>
      <c r="C8" s="8" t="str">
        <f>INDEX(materials_HAMFEM!$C$4:$AU$55,interface!$C$12,A8)</f>
        <v>'Anne-Séverine'</v>
      </c>
      <c r="E8" s="38">
        <v>0.5</v>
      </c>
      <c r="F8" s="29">
        <f t="shared" si="0"/>
        <v>-93902268.435416758</v>
      </c>
      <c r="G8" s="4">
        <f t="shared" si="1"/>
        <v>7.9726760838218551</v>
      </c>
      <c r="H8" s="5">
        <f t="shared" si="2"/>
        <v>3510.8864723131164</v>
      </c>
      <c r="I8" s="29">
        <f t="shared" si="3"/>
        <v>3.2984129617479496E-3</v>
      </c>
      <c r="J8" s="5">
        <f t="shared" si="4"/>
        <v>35270.544069268268</v>
      </c>
      <c r="K8" s="1">
        <f t="shared" si="5"/>
        <v>0</v>
      </c>
      <c r="L8" s="5">
        <f t="shared" si="6"/>
        <v>225834650583.90729</v>
      </c>
      <c r="M8">
        <f t="shared" si="7"/>
        <v>8.6539979491765308E-10</v>
      </c>
      <c r="N8" s="4">
        <f t="shared" si="8"/>
        <v>2.9487819614700834</v>
      </c>
      <c r="O8" s="29">
        <f t="shared" si="9"/>
        <v>15.158805334521599</v>
      </c>
      <c r="P8" s="29">
        <f t="shared" si="10"/>
        <v>154665.31237709962</v>
      </c>
      <c r="Q8" s="29">
        <f t="shared" si="11"/>
        <v>187.80719919446184</v>
      </c>
      <c r="R8" s="29">
        <f t="shared" si="12"/>
        <v>204663.18603218373</v>
      </c>
      <c r="S8" s="29">
        <f t="shared" si="13"/>
        <v>982204993.56702709</v>
      </c>
      <c r="T8" s="29">
        <f t="shared" si="14"/>
        <v>204663.49496161914</v>
      </c>
      <c r="U8" s="29">
        <f t="shared" si="15"/>
        <v>204663.49496161914</v>
      </c>
      <c r="V8" s="45">
        <f t="shared" si="16"/>
        <v>157.05121803852992</v>
      </c>
      <c r="W8" s="4">
        <f t="shared" si="18"/>
        <v>160</v>
      </c>
      <c r="X8" s="44">
        <v>1.6</v>
      </c>
      <c r="Y8" s="36">
        <v>1.2E-10</v>
      </c>
      <c r="Z8" s="29">
        <f t="shared" si="17"/>
        <v>2.4559619395394299E-5</v>
      </c>
      <c r="AA8" s="29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D8" s="11"/>
      <c r="BE8" s="11"/>
      <c r="BF8" s="11"/>
    </row>
    <row r="9" spans="1:58" x14ac:dyDescent="0.2">
      <c r="A9" s="31">
        <v>3</v>
      </c>
      <c r="B9" s="11" t="s">
        <v>129</v>
      </c>
      <c r="C9" s="8">
        <f>INDEX(materials_HAMFEM!$C$4:$AU$55,interface!$C$12,A9)</f>
        <v>270</v>
      </c>
      <c r="E9" s="38">
        <v>0.5</v>
      </c>
      <c r="F9" s="29">
        <f t="shared" si="0"/>
        <v>-93902268.435416758</v>
      </c>
      <c r="G9" s="4">
        <f t="shared" si="1"/>
        <v>7.9726760838218551</v>
      </c>
      <c r="H9" s="5">
        <f t="shared" si="2"/>
        <v>3510.8864723131164</v>
      </c>
      <c r="I9" s="29">
        <f t="shared" si="3"/>
        <v>3.2984129617479496E-3</v>
      </c>
      <c r="J9" s="5">
        <f t="shared" si="4"/>
        <v>35270.544069268268</v>
      </c>
      <c r="K9" s="1">
        <f t="shared" si="5"/>
        <v>0</v>
      </c>
      <c r="L9" s="5">
        <f t="shared" si="6"/>
        <v>225834650583.90729</v>
      </c>
      <c r="M9">
        <f t="shared" si="7"/>
        <v>8.6539979491765308E-10</v>
      </c>
      <c r="N9" s="4">
        <f t="shared" si="8"/>
        <v>2.9487819614700834</v>
      </c>
      <c r="O9" s="29">
        <f t="shared" si="9"/>
        <v>15.158805334521599</v>
      </c>
      <c r="P9" s="29">
        <f t="shared" si="10"/>
        <v>154665.31237709962</v>
      </c>
      <c r="Q9" s="29">
        <f t="shared" si="11"/>
        <v>187.80719919446184</v>
      </c>
      <c r="R9" s="29">
        <f t="shared" si="12"/>
        <v>204663.18603218373</v>
      </c>
      <c r="S9" s="29">
        <f t="shared" si="13"/>
        <v>982204993.56702709</v>
      </c>
      <c r="T9" s="29">
        <f t="shared" si="14"/>
        <v>204663.49496161914</v>
      </c>
      <c r="U9" s="29">
        <f t="shared" si="15"/>
        <v>204663.49496161914</v>
      </c>
      <c r="V9" s="45">
        <f t="shared" si="16"/>
        <v>177.05121803852992</v>
      </c>
      <c r="W9" s="4">
        <f t="shared" si="18"/>
        <v>180</v>
      </c>
      <c r="X9" s="44">
        <v>1.8</v>
      </c>
      <c r="Y9" s="36">
        <v>1E-10</v>
      </c>
      <c r="Z9" s="29">
        <f t="shared" si="17"/>
        <v>2.0466349496161914E-5</v>
      </c>
      <c r="AA9" s="29"/>
      <c r="AB9" s="29"/>
      <c r="AC9" s="14"/>
      <c r="AD9" s="30"/>
      <c r="AE9" s="14"/>
      <c r="AF9" s="1"/>
      <c r="AG9" s="1"/>
      <c r="AI9" s="1"/>
      <c r="AK9" s="5"/>
      <c r="AL9" s="5"/>
      <c r="AM9" s="29"/>
      <c r="AN9" s="29"/>
      <c r="AO9" s="29"/>
      <c r="AP9" s="29"/>
      <c r="AQ9" s="5"/>
      <c r="AR9" s="29"/>
      <c r="AS9" s="29"/>
      <c r="AT9" s="29"/>
      <c r="AU9" s="30"/>
      <c r="AV9" s="29"/>
      <c r="AW9" s="29"/>
      <c r="AX9" s="29"/>
      <c r="AY9" s="5"/>
      <c r="AZ9" s="4"/>
      <c r="BA9" s="4"/>
      <c r="BE9" s="4"/>
      <c r="BF9" s="1"/>
    </row>
    <row r="10" spans="1:58" x14ac:dyDescent="0.2">
      <c r="A10" s="31">
        <v>4</v>
      </c>
      <c r="B10" s="11" t="s">
        <v>130</v>
      </c>
      <c r="C10" s="8">
        <f>INDEX(materials_HAMFEM!$C$4:$AU$55,interface!$C$12,A10)</f>
        <v>1000</v>
      </c>
      <c r="E10" s="38">
        <v>0.5</v>
      </c>
      <c r="F10" s="29">
        <f t="shared" si="0"/>
        <v>-93902268.435416758</v>
      </c>
      <c r="G10" s="4">
        <f t="shared" si="1"/>
        <v>7.9726760838218551</v>
      </c>
      <c r="H10" s="5">
        <f t="shared" si="2"/>
        <v>3510.8864723131164</v>
      </c>
      <c r="I10" s="29">
        <f t="shared" si="3"/>
        <v>3.2984129617479496E-3</v>
      </c>
      <c r="J10" s="5">
        <f t="shared" si="4"/>
        <v>35270.544069268268</v>
      </c>
      <c r="K10" s="1">
        <f t="shared" si="5"/>
        <v>0</v>
      </c>
      <c r="L10" s="5">
        <f t="shared" si="6"/>
        <v>225834650583.90729</v>
      </c>
      <c r="M10">
        <f t="shared" si="7"/>
        <v>8.6539979491765308E-10</v>
      </c>
      <c r="N10" s="4">
        <f t="shared" si="8"/>
        <v>2.9487819614700834</v>
      </c>
      <c r="O10" s="29">
        <f t="shared" si="9"/>
        <v>15.158805334521599</v>
      </c>
      <c r="P10" s="29">
        <f t="shared" si="10"/>
        <v>154665.31237709962</v>
      </c>
      <c r="Q10" s="29">
        <f t="shared" si="11"/>
        <v>187.80719919446184</v>
      </c>
      <c r="R10" s="29">
        <f t="shared" si="12"/>
        <v>204663.18603218373</v>
      </c>
      <c r="S10" s="29">
        <f t="shared" si="13"/>
        <v>982204993.56702709</v>
      </c>
      <c r="T10" s="29">
        <f t="shared" si="14"/>
        <v>204663.49496161914</v>
      </c>
      <c r="U10" s="29">
        <f t="shared" si="15"/>
        <v>204663.49496161914</v>
      </c>
      <c r="V10" s="45">
        <f t="shared" si="16"/>
        <v>197.05121803852992</v>
      </c>
      <c r="W10" s="4">
        <f t="shared" si="18"/>
        <v>200</v>
      </c>
      <c r="X10" s="44">
        <v>2</v>
      </c>
      <c r="Y10" s="36">
        <v>1.0000000001</v>
      </c>
      <c r="Z10" s="29">
        <f t="shared" si="17"/>
        <v>204663.49498208548</v>
      </c>
      <c r="AA10" s="29"/>
      <c r="AB10" s="29"/>
      <c r="AC10" s="14"/>
      <c r="AD10" s="30"/>
      <c r="AE10" s="14"/>
      <c r="AF10" s="1"/>
      <c r="AG10" s="1"/>
      <c r="AI10" s="1"/>
      <c r="AK10" s="5"/>
      <c r="AL10" s="5"/>
      <c r="AM10" s="29"/>
      <c r="AN10" s="29"/>
      <c r="AO10" s="29"/>
      <c r="AP10" s="29"/>
      <c r="AQ10" s="5"/>
      <c r="AR10" s="29"/>
      <c r="AS10" s="29"/>
      <c r="AT10" s="29"/>
      <c r="AU10" s="30"/>
      <c r="AV10" s="29"/>
      <c r="AW10" s="29"/>
      <c r="AX10" s="29"/>
      <c r="AY10" s="5"/>
      <c r="AZ10" s="4"/>
      <c r="BA10" s="4"/>
      <c r="BE10" s="4"/>
      <c r="BF10" s="1"/>
    </row>
    <row r="11" spans="1:58" x14ac:dyDescent="0.2">
      <c r="A11" s="31">
        <v>5</v>
      </c>
      <c r="B11" s="11" t="s">
        <v>131</v>
      </c>
      <c r="C11" s="8">
        <f>INDEX(materials_HAMFEM!$C$4:$AU$55,interface!$C$12,A11)</f>
        <v>0.06</v>
      </c>
      <c r="E11" s="38">
        <v>0.5</v>
      </c>
      <c r="F11" s="29">
        <f t="shared" si="0"/>
        <v>-93902268.435416758</v>
      </c>
      <c r="G11" s="4">
        <f t="shared" si="1"/>
        <v>7.9726760838218551</v>
      </c>
      <c r="H11" s="5">
        <f t="shared" si="2"/>
        <v>3510.8864723131164</v>
      </c>
      <c r="I11" s="29">
        <f t="shared" si="3"/>
        <v>3.2984129617479496E-3</v>
      </c>
      <c r="J11" s="5">
        <f t="shared" si="4"/>
        <v>35270.544069268268</v>
      </c>
      <c r="K11" s="1">
        <f t="shared" si="5"/>
        <v>0</v>
      </c>
      <c r="L11" s="5">
        <f t="shared" si="6"/>
        <v>225834650583.90729</v>
      </c>
      <c r="M11">
        <f t="shared" si="7"/>
        <v>8.6539979491765308E-10</v>
      </c>
      <c r="N11" s="4">
        <f t="shared" si="8"/>
        <v>2.9487819614700834</v>
      </c>
      <c r="O11" s="29">
        <f t="shared" si="9"/>
        <v>15.158805334521599</v>
      </c>
      <c r="P11" s="29">
        <f t="shared" si="10"/>
        <v>154665.31237709962</v>
      </c>
      <c r="Q11" s="29">
        <f t="shared" si="11"/>
        <v>187.80719919446184</v>
      </c>
      <c r="R11" s="29">
        <f t="shared" si="12"/>
        <v>204663.18603218373</v>
      </c>
      <c r="S11" s="29">
        <f t="shared" si="13"/>
        <v>982204993.56702709</v>
      </c>
      <c r="T11" s="29">
        <f t="shared" si="14"/>
        <v>204663.49496161914</v>
      </c>
      <c r="U11" s="29">
        <f t="shared" si="15"/>
        <v>204663.49496161914</v>
      </c>
      <c r="V11" s="45">
        <f t="shared" si="16"/>
        <v>197.05121803852992</v>
      </c>
      <c r="W11" s="4">
        <f t="shared" si="18"/>
        <v>200</v>
      </c>
      <c r="X11" s="44">
        <v>2</v>
      </c>
      <c r="Y11" s="36">
        <v>2.0000000001</v>
      </c>
      <c r="Z11" s="29">
        <f t="shared" si="17"/>
        <v>409326.98994370463</v>
      </c>
      <c r="AA11" s="29"/>
      <c r="AB11" s="29"/>
      <c r="AC11" s="14"/>
      <c r="AD11" s="30"/>
      <c r="AE11" s="14"/>
      <c r="AF11" s="1"/>
      <c r="AG11" s="1"/>
      <c r="AI11" s="1"/>
      <c r="AK11" s="5"/>
      <c r="AL11" s="5"/>
      <c r="AM11" s="29"/>
      <c r="AN11" s="29"/>
      <c r="AO11" s="29"/>
      <c r="AP11" s="29"/>
      <c r="AQ11" s="5"/>
      <c r="AR11" s="29"/>
      <c r="AS11" s="29"/>
      <c r="AT11" s="29"/>
      <c r="AU11" s="30"/>
      <c r="AV11" s="29"/>
      <c r="AW11" s="29"/>
      <c r="AX11" s="29"/>
      <c r="AY11" s="5"/>
      <c r="AZ11" s="4"/>
      <c r="BA11" s="4"/>
      <c r="BE11" s="4"/>
      <c r="BF11" s="1"/>
    </row>
    <row r="12" spans="1:58" x14ac:dyDescent="0.2">
      <c r="A12" s="31">
        <v>6</v>
      </c>
      <c r="B12" s="11" t="s">
        <v>131</v>
      </c>
      <c r="C12" s="8">
        <f>INDEX(materials_HAMFEM!$C$4:$AU$55,interface!$C$12,A12)</f>
        <v>5.5999999999999995E-4</v>
      </c>
      <c r="AA12" s="29"/>
      <c r="AB12" s="29"/>
      <c r="AC12" s="14"/>
      <c r="AD12" s="30"/>
      <c r="AE12" s="14"/>
      <c r="AF12" s="1"/>
      <c r="AG12" s="1"/>
      <c r="AI12" s="1"/>
      <c r="AK12" s="5"/>
      <c r="AL12" s="5"/>
      <c r="AM12" s="29"/>
      <c r="AN12" s="29"/>
      <c r="AO12" s="29"/>
      <c r="AP12" s="29"/>
      <c r="AQ12" s="5"/>
      <c r="AR12" s="29"/>
      <c r="AS12" s="29"/>
      <c r="AT12" s="29"/>
      <c r="AU12" s="30"/>
      <c r="AV12" s="29"/>
      <c r="AW12" s="29"/>
      <c r="AX12" s="29"/>
      <c r="AY12" s="5"/>
      <c r="AZ12" s="4"/>
      <c r="BA12" s="4"/>
      <c r="BE12" s="4"/>
      <c r="BF12" s="1"/>
    </row>
    <row r="13" spans="1:58" x14ac:dyDescent="0.2">
      <c r="A13" s="31">
        <v>7</v>
      </c>
      <c r="B13" s="11" t="s">
        <v>132</v>
      </c>
      <c r="C13" s="8">
        <f>INDEX(materials_HAMFEM!$C$4:$AU$55,interface!$C$12,A13)</f>
        <v>894</v>
      </c>
      <c r="AA13" s="29"/>
      <c r="AB13" s="29"/>
      <c r="AC13" s="14"/>
      <c r="AD13" s="30"/>
      <c r="AE13" s="14"/>
      <c r="AF13" s="1"/>
      <c r="AG13" s="1"/>
      <c r="AI13" s="1"/>
      <c r="AK13" s="5"/>
      <c r="AL13" s="5"/>
      <c r="AM13" s="29"/>
      <c r="AN13" s="29"/>
      <c r="AO13" s="29"/>
      <c r="AP13" s="29"/>
      <c r="AQ13" s="5"/>
      <c r="AR13" s="29"/>
      <c r="AS13" s="29"/>
      <c r="AT13" s="29"/>
      <c r="AU13" s="30"/>
      <c r="AV13" s="29"/>
      <c r="AW13" s="29"/>
      <c r="AX13" s="29"/>
      <c r="AY13" s="5"/>
      <c r="AZ13" s="4"/>
      <c r="BA13" s="4"/>
      <c r="BE13" s="4"/>
      <c r="BF13" s="1"/>
    </row>
    <row r="14" spans="1:58" x14ac:dyDescent="0.2">
      <c r="A14" s="31">
        <v>8</v>
      </c>
      <c r="B14" s="11" t="s">
        <v>133</v>
      </c>
      <c r="C14" s="8">
        <f>INDEX(materials_HAMFEM!$C$4:$AU$55,interface!$C$12,A14)</f>
        <v>0.5</v>
      </c>
      <c r="AA14" s="29"/>
      <c r="AB14" s="29"/>
      <c r="AC14" s="14"/>
      <c r="AD14" s="30"/>
      <c r="AE14" s="14"/>
      <c r="AF14" s="1"/>
      <c r="AG14" s="1"/>
      <c r="AI14" s="1"/>
      <c r="AK14" s="5"/>
      <c r="AL14" s="5"/>
      <c r="AM14" s="29"/>
      <c r="AN14" s="29"/>
      <c r="AO14" s="29"/>
      <c r="AP14" s="29"/>
      <c r="AQ14" s="5"/>
      <c r="AR14" s="29"/>
      <c r="AS14" s="29"/>
      <c r="AT14" s="29"/>
      <c r="AU14" s="30"/>
      <c r="AV14" s="29"/>
      <c r="AW14" s="29"/>
      <c r="AX14" s="29"/>
      <c r="AY14" s="5"/>
      <c r="AZ14" s="4"/>
      <c r="BA14" s="4"/>
      <c r="BE14" s="4"/>
      <c r="BF14" s="1"/>
    </row>
    <row r="15" spans="1:58" x14ac:dyDescent="0.2">
      <c r="A15" s="31">
        <v>9</v>
      </c>
      <c r="B15" s="11" t="s">
        <v>8</v>
      </c>
      <c r="C15">
        <f>INDEX(materials_HAMFEM!$C$4:$AU$55,interface!$C$12,A15)</f>
        <v>1</v>
      </c>
      <c r="AA15" s="29"/>
      <c r="AB15" s="29"/>
      <c r="AC15" s="14"/>
      <c r="AD15" s="30"/>
      <c r="AE15" s="14"/>
      <c r="AF15" s="1"/>
      <c r="AG15" s="1"/>
      <c r="AI15" s="1"/>
      <c r="AK15" s="5"/>
      <c r="AL15" s="5"/>
      <c r="AM15" s="29"/>
      <c r="AN15" s="29"/>
      <c r="AO15" s="29"/>
      <c r="AP15" s="29"/>
      <c r="AQ15" s="5"/>
      <c r="AR15" s="29"/>
      <c r="AS15" s="29"/>
      <c r="AT15" s="29"/>
      <c r="AU15" s="30"/>
      <c r="AV15" s="29"/>
      <c r="AW15" s="29"/>
      <c r="AX15" s="29"/>
      <c r="AY15" s="5"/>
      <c r="AZ15" s="4"/>
      <c r="BA15" s="4"/>
      <c r="BE15" s="4"/>
      <c r="BF15" s="1"/>
    </row>
    <row r="16" spans="1:58" x14ac:dyDescent="0.2">
      <c r="A16" s="31">
        <v>10</v>
      </c>
      <c r="B16" s="11" t="s">
        <v>9</v>
      </c>
      <c r="C16">
        <f>INDEX(materials_HAMFEM!$C$4:$AU$55,interface!$C$12,A16)</f>
        <v>2.6100000000000001E-5</v>
      </c>
      <c r="AA16" s="29"/>
      <c r="AB16" s="29"/>
      <c r="AC16" s="14"/>
      <c r="AD16" s="30"/>
      <c r="AE16" s="14"/>
      <c r="AF16" s="1"/>
      <c r="AG16" s="1"/>
      <c r="AI16" s="1"/>
      <c r="AK16" s="5"/>
      <c r="AL16" s="5"/>
      <c r="AM16" s="29"/>
      <c r="AN16" s="29"/>
      <c r="AO16" s="29"/>
      <c r="AP16" s="29"/>
      <c r="AQ16" s="5"/>
      <c r="AR16" s="29"/>
      <c r="AS16" s="29"/>
      <c r="AT16" s="29"/>
      <c r="AU16" s="30"/>
      <c r="AV16" s="29"/>
      <c r="AW16" s="29"/>
      <c r="AX16" s="29"/>
      <c r="AY16" s="5"/>
      <c r="AZ16" s="4"/>
      <c r="BA16" s="4"/>
      <c r="BE16" s="4"/>
      <c r="BF16" s="1"/>
    </row>
    <row r="17" spans="1:58" x14ac:dyDescent="0.2">
      <c r="A17" s="31">
        <v>11</v>
      </c>
      <c r="B17" s="11" t="s">
        <v>10</v>
      </c>
      <c r="C17">
        <f>INDEX(materials_HAMFEM!$C$4:$AU$55,interface!$C$12,A17)</f>
        <v>5.6</v>
      </c>
      <c r="F17" s="29"/>
      <c r="G17" s="4"/>
      <c r="H17" s="5"/>
      <c r="I17" s="29"/>
      <c r="J17" s="5"/>
      <c r="K17" s="1"/>
      <c r="L17" s="5"/>
      <c r="N17" s="4"/>
      <c r="O17" s="29"/>
      <c r="P17" s="29"/>
      <c r="Q17" s="29"/>
      <c r="R17" s="29"/>
      <c r="S17" s="29"/>
      <c r="T17" s="29"/>
      <c r="U17" s="29"/>
      <c r="V17" s="29"/>
      <c r="W17" s="29"/>
      <c r="X17" s="29"/>
      <c r="Y17" s="29"/>
      <c r="Z17" s="29"/>
      <c r="AA17" s="29"/>
      <c r="AB17" s="29"/>
      <c r="AC17" s="14"/>
      <c r="AD17" s="30"/>
      <c r="AE17" s="14"/>
      <c r="AF17" s="1"/>
      <c r="AG17" s="1"/>
      <c r="AI17" s="1"/>
      <c r="AK17" s="5"/>
      <c r="AL17" s="5"/>
      <c r="AM17" s="29"/>
      <c r="AN17" s="29"/>
      <c r="AO17" s="29"/>
      <c r="AP17" s="29"/>
      <c r="AQ17" s="5"/>
      <c r="AR17" s="29"/>
      <c r="AS17" s="29"/>
      <c r="AT17" s="29"/>
      <c r="AU17" s="30"/>
      <c r="AV17" s="29"/>
      <c r="AW17" s="29"/>
      <c r="AX17" s="29"/>
      <c r="AY17" s="5"/>
      <c r="AZ17" s="4"/>
      <c r="BA17" s="4"/>
      <c r="BE17" s="4"/>
      <c r="BF17" s="1"/>
    </row>
    <row r="18" spans="1:58" x14ac:dyDescent="0.2">
      <c r="A18" s="31">
        <v>12</v>
      </c>
      <c r="B18" s="11" t="s">
        <v>11</v>
      </c>
      <c r="C18">
        <f>INDEX(materials_HAMFEM!$C$4:$AU$55,interface!$C$12,A18)</f>
        <v>0.8</v>
      </c>
      <c r="F18" s="29"/>
      <c r="G18" s="4"/>
      <c r="H18" s="5"/>
      <c r="I18" s="29"/>
      <c r="J18" s="5"/>
      <c r="K18" s="1"/>
      <c r="L18" s="5"/>
      <c r="N18" s="4"/>
      <c r="O18" s="29"/>
      <c r="P18" s="29"/>
      <c r="Q18" s="29"/>
      <c r="R18" s="29"/>
      <c r="S18" s="29"/>
      <c r="T18" s="29"/>
      <c r="U18" s="29"/>
      <c r="V18" s="29"/>
      <c r="W18" s="29"/>
      <c r="X18" s="29"/>
      <c r="Y18" s="29"/>
      <c r="Z18" s="29"/>
      <c r="AA18" s="29"/>
      <c r="AB18" s="29"/>
      <c r="AC18" s="14"/>
      <c r="AD18" s="30"/>
      <c r="AE18" s="14"/>
      <c r="AF18" s="1"/>
      <c r="AG18" s="1"/>
      <c r="AI18" s="1"/>
      <c r="AK18" s="5"/>
      <c r="AL18" s="5"/>
      <c r="AM18" s="29"/>
      <c r="AN18" s="29"/>
      <c r="AO18" s="29"/>
      <c r="AP18" s="29"/>
      <c r="AQ18" s="5"/>
      <c r="AR18" s="29"/>
      <c r="AS18" s="29"/>
      <c r="AT18" s="29"/>
      <c r="AU18" s="30"/>
      <c r="AV18" s="29"/>
      <c r="AW18" s="29"/>
      <c r="AX18" s="29"/>
      <c r="AY18" s="5"/>
      <c r="AZ18" s="4"/>
      <c r="BA18" s="4"/>
      <c r="BE18" s="4"/>
      <c r="BF18" s="1"/>
    </row>
    <row r="19" spans="1:58" x14ac:dyDescent="0.2">
      <c r="A19" s="31">
        <v>13</v>
      </c>
      <c r="B19" s="11" t="s">
        <v>12</v>
      </c>
      <c r="C19">
        <f>INDEX(materials_HAMFEM!$C$4:$AU$55,interface!$C$12,A19)</f>
        <v>0.2</v>
      </c>
      <c r="F19" s="29"/>
      <c r="G19" s="4"/>
      <c r="H19" s="5"/>
      <c r="I19" s="29"/>
      <c r="J19" s="5"/>
      <c r="K19" s="1"/>
      <c r="L19" s="5"/>
      <c r="N19" s="4"/>
      <c r="O19" s="29"/>
      <c r="P19" s="29"/>
      <c r="Q19" s="29"/>
      <c r="R19" s="29"/>
      <c r="S19" s="29"/>
      <c r="T19" s="29"/>
      <c r="U19" s="29"/>
      <c r="V19" s="29"/>
      <c r="W19" s="29"/>
      <c r="X19" s="29"/>
      <c r="Y19" s="29"/>
      <c r="Z19" s="29"/>
      <c r="AA19" s="29"/>
      <c r="AB19" s="29"/>
      <c r="AC19" s="14"/>
      <c r="AD19" s="30"/>
      <c r="AE19" s="14"/>
      <c r="AF19" s="1"/>
      <c r="AG19" s="1"/>
      <c r="AI19" s="1"/>
      <c r="AK19" s="5"/>
      <c r="AL19" s="5"/>
      <c r="AM19" s="29"/>
      <c r="AN19" s="29"/>
      <c r="AO19" s="29"/>
      <c r="AP19" s="29"/>
      <c r="AQ19" s="5"/>
      <c r="AR19" s="29"/>
      <c r="AS19" s="29"/>
      <c r="AT19" s="29"/>
      <c r="AU19" s="30"/>
      <c r="AV19" s="29"/>
      <c r="AW19" s="29"/>
      <c r="AX19" s="29"/>
      <c r="AY19" s="5"/>
      <c r="AZ19" s="4"/>
      <c r="BA19" s="4"/>
      <c r="BE19" s="4"/>
      <c r="BF19" s="1"/>
    </row>
    <row r="20" spans="1:58" x14ac:dyDescent="0.2">
      <c r="A20" s="31">
        <v>14</v>
      </c>
      <c r="B20" s="11" t="s">
        <v>13</v>
      </c>
      <c r="C20">
        <f>INDEX(materials_HAMFEM!$C$4:$AU$55,interface!$C$12,A20)</f>
        <v>0</v>
      </c>
      <c r="F20" s="29"/>
      <c r="G20" s="4"/>
      <c r="H20" s="5"/>
      <c r="I20" s="29"/>
      <c r="J20" s="5"/>
      <c r="K20" s="1"/>
      <c r="L20" s="5"/>
      <c r="N20" s="4"/>
      <c r="O20" s="29"/>
      <c r="P20" s="29"/>
      <c r="Q20" s="29"/>
      <c r="R20" s="29"/>
      <c r="S20" s="29"/>
      <c r="T20" s="29"/>
      <c r="U20" s="29"/>
      <c r="V20" s="29"/>
      <c r="W20" s="29"/>
      <c r="X20" s="29"/>
      <c r="Y20" s="29"/>
      <c r="Z20" s="29"/>
      <c r="AA20" s="29"/>
      <c r="AB20" s="29"/>
      <c r="AC20" s="14"/>
      <c r="AD20" s="30"/>
      <c r="AE20" s="14"/>
      <c r="AF20" s="1"/>
      <c r="AG20" s="1"/>
      <c r="AI20" s="1"/>
      <c r="AK20" s="5"/>
      <c r="AL20" s="5"/>
      <c r="AM20" s="29"/>
      <c r="AN20" s="29"/>
      <c r="AO20" s="29"/>
      <c r="AP20" s="29"/>
      <c r="AQ20" s="5"/>
      <c r="AR20" s="29"/>
      <c r="AS20" s="29"/>
      <c r="AT20" s="29"/>
      <c r="AU20" s="30"/>
      <c r="AV20" s="29"/>
      <c r="AW20" s="29"/>
      <c r="AX20" s="29"/>
      <c r="AY20" s="5"/>
      <c r="AZ20" s="4"/>
      <c r="BA20" s="4"/>
      <c r="BE20" s="4"/>
      <c r="BF20" s="1"/>
    </row>
    <row r="21" spans="1:58" x14ac:dyDescent="0.2">
      <c r="A21" s="31">
        <v>15</v>
      </c>
      <c r="B21" s="11" t="s">
        <v>14</v>
      </c>
      <c r="C21">
        <f>INDEX(materials_HAMFEM!$C$4:$AU$55,interface!$C$12,A21)</f>
        <v>0</v>
      </c>
      <c r="F21" s="29"/>
      <c r="G21" s="4"/>
      <c r="H21" s="5"/>
      <c r="I21" s="29"/>
      <c r="J21" s="29"/>
      <c r="K21" s="1"/>
      <c r="L21" s="1"/>
      <c r="N21" s="4"/>
      <c r="O21" s="4"/>
      <c r="P21" s="4"/>
      <c r="Q21" s="4"/>
      <c r="R21" s="4"/>
      <c r="S21" s="4"/>
      <c r="T21" s="4"/>
      <c r="U21" s="29"/>
      <c r="V21" s="4"/>
      <c r="W21" s="4"/>
      <c r="X21" s="4"/>
      <c r="Y21" s="4"/>
      <c r="Z21" s="4"/>
      <c r="AA21" s="4"/>
      <c r="AB21" s="4"/>
      <c r="AC21" s="14"/>
      <c r="AD21" s="30"/>
      <c r="AE21" s="14"/>
      <c r="AF21" s="1"/>
      <c r="AG21" s="1"/>
      <c r="AI21" s="1"/>
      <c r="AK21" s="5"/>
      <c r="AL21" s="5"/>
      <c r="AM21" s="29"/>
      <c r="AN21" s="29"/>
      <c r="AO21" s="29"/>
      <c r="AP21" s="29"/>
      <c r="AQ21" s="5"/>
      <c r="AR21" s="29"/>
      <c r="AS21" s="29"/>
      <c r="AT21" s="29"/>
      <c r="AU21" s="30"/>
      <c r="AV21" s="29"/>
      <c r="AW21" s="29"/>
      <c r="AX21" s="29"/>
      <c r="AY21" s="5"/>
      <c r="AZ21" s="4"/>
      <c r="BA21" s="4"/>
      <c r="BE21" s="4"/>
      <c r="BF21" s="1"/>
    </row>
    <row r="22" spans="1:58" x14ac:dyDescent="0.2">
      <c r="A22" s="31">
        <v>16</v>
      </c>
      <c r="B22" s="11" t="s">
        <v>15</v>
      </c>
      <c r="C22">
        <f>INDEX(materials_HAMFEM!$C$4:$AU$55,interface!$C$12,A22)</f>
        <v>3</v>
      </c>
      <c r="F22" s="1"/>
      <c r="G22" s="4"/>
      <c r="H22" s="5"/>
      <c r="I22" s="1"/>
      <c r="J22" s="29"/>
      <c r="K22" s="1"/>
      <c r="L22" s="1"/>
      <c r="N22" s="5"/>
      <c r="O22" s="4"/>
      <c r="P22" s="4"/>
      <c r="Q22" s="4"/>
      <c r="R22" s="4"/>
      <c r="S22" s="4"/>
      <c r="T22" s="4"/>
      <c r="U22" s="29"/>
      <c r="V22" s="4"/>
      <c r="W22" s="4"/>
      <c r="X22" s="4"/>
      <c r="Y22" s="4"/>
      <c r="Z22" s="4"/>
      <c r="AA22" s="4"/>
      <c r="AB22" s="4"/>
      <c r="AC22" s="14"/>
      <c r="AD22" s="30"/>
      <c r="AE22" s="14"/>
      <c r="AF22" s="1"/>
      <c r="AG22" s="1"/>
      <c r="AI22" s="1"/>
      <c r="AK22" s="5"/>
      <c r="AL22" s="5"/>
      <c r="AM22" s="29"/>
      <c r="AN22" s="29"/>
      <c r="AO22" s="29"/>
      <c r="AQ22" s="5"/>
      <c r="AR22" s="29"/>
      <c r="AS22" s="29"/>
      <c r="AU22" s="30"/>
      <c r="AV22" s="29"/>
      <c r="AW22" s="29"/>
      <c r="AZ22" s="4"/>
      <c r="BA22" s="4"/>
      <c r="BE22" s="4"/>
      <c r="BF22" s="1"/>
    </row>
    <row r="23" spans="1:58" x14ac:dyDescent="0.2">
      <c r="A23" s="31">
        <v>17</v>
      </c>
      <c r="B23" s="11" t="s">
        <v>16</v>
      </c>
      <c r="C23" s="1">
        <f>INDEX(materials_HAMFEM!$C$4:$AU$55,interface!$C$12,A23)</f>
        <v>-2.4600000000000002E-6</v>
      </c>
      <c r="AK23" s="5"/>
      <c r="AL23" s="5"/>
      <c r="AZ23" s="4"/>
      <c r="BA23" s="4"/>
      <c r="BE23" s="4"/>
      <c r="BF23" s="1"/>
    </row>
    <row r="24" spans="1:58" x14ac:dyDescent="0.2">
      <c r="A24" s="31">
        <v>18</v>
      </c>
      <c r="B24" s="11" t="s">
        <v>17</v>
      </c>
      <c r="C24">
        <f>INDEX(materials_HAMFEM!$C$4:$AU$55,interface!$C$12,A24)</f>
        <v>1.5</v>
      </c>
      <c r="AK24" s="5"/>
      <c r="AL24" s="5"/>
      <c r="AZ24" s="4"/>
      <c r="BA24" s="4"/>
      <c r="BE24" s="4"/>
      <c r="BF24" s="1"/>
    </row>
    <row r="25" spans="1:58" x14ac:dyDescent="0.2">
      <c r="A25" s="31">
        <v>19</v>
      </c>
      <c r="B25" s="11" t="s">
        <v>18</v>
      </c>
      <c r="C25">
        <f>INDEX(materials_HAMFEM!$C$4:$AU$55,interface!$C$12,A25)</f>
        <v>0.33300000000000002</v>
      </c>
      <c r="AK25" s="5"/>
      <c r="AL25" s="5"/>
      <c r="AZ25" s="4"/>
      <c r="BA25" s="4"/>
      <c r="BE25" s="4"/>
      <c r="BF25" s="1"/>
    </row>
    <row r="26" spans="1:58" x14ac:dyDescent="0.2">
      <c r="A26" s="31">
        <v>20</v>
      </c>
      <c r="B26" s="11" t="s">
        <v>19</v>
      </c>
      <c r="C26">
        <f>INDEX(materials_HAMFEM!$C$4:$AU$55,interface!$C$12,A26)</f>
        <v>0.05</v>
      </c>
      <c r="AK26" s="5"/>
      <c r="AL26" s="5"/>
      <c r="AZ26" s="4"/>
      <c r="BA26" s="4"/>
      <c r="BE26" s="4"/>
      <c r="BF26" s="1"/>
    </row>
    <row r="27" spans="1:58" x14ac:dyDescent="0.2">
      <c r="A27" s="31">
        <v>21</v>
      </c>
      <c r="B27" s="11" t="s">
        <v>20</v>
      </c>
      <c r="C27">
        <f>INDEX(materials_HAMFEM!$C$4:$AU$55,interface!$C$12,A27)</f>
        <v>894</v>
      </c>
      <c r="AK27" s="5"/>
      <c r="AL27" s="5"/>
      <c r="AZ27" s="4"/>
      <c r="BA27" s="4"/>
      <c r="BE27" s="4"/>
      <c r="BF27" s="1"/>
    </row>
    <row r="28" spans="1:58" x14ac:dyDescent="0.2">
      <c r="A28" s="31">
        <v>22</v>
      </c>
      <c r="B28" s="11" t="s">
        <v>21</v>
      </c>
      <c r="C28">
        <f>INDEX(materials_HAMFEM!$C$4:$AU$55,interface!$C$12,A28)</f>
        <v>894</v>
      </c>
      <c r="N28" s="4"/>
      <c r="O28" s="29"/>
      <c r="AK28" s="5"/>
      <c r="AL28" s="5"/>
      <c r="AZ28" s="4"/>
      <c r="BA28" s="4"/>
      <c r="BE28" s="4"/>
      <c r="BF28" s="1"/>
    </row>
    <row r="29" spans="1:58" x14ac:dyDescent="0.2">
      <c r="A29" s="31">
        <v>23</v>
      </c>
      <c r="B29" s="11" t="s">
        <v>22</v>
      </c>
      <c r="C29" s="1">
        <f>INDEX(materials_HAMFEM!$C$4:$AU$55,interface!$C$12,A29)</f>
        <v>-1.9999999999999999E-6</v>
      </c>
      <c r="N29" s="29"/>
      <c r="AK29" s="5"/>
      <c r="AL29" s="5"/>
      <c r="AZ29" s="4"/>
      <c r="BA29" s="4"/>
      <c r="BE29" s="4"/>
      <c r="BF29" s="1"/>
    </row>
    <row r="30" spans="1:58" x14ac:dyDescent="0.2">
      <c r="A30" s="31">
        <v>24</v>
      </c>
      <c r="B30" s="11" t="s">
        <v>23</v>
      </c>
      <c r="C30">
        <f>INDEX(materials_HAMFEM!$C$4:$AU$55,interface!$C$12,A30)</f>
        <v>2</v>
      </c>
      <c r="AK30" s="5"/>
      <c r="AL30" s="5"/>
      <c r="AZ30" s="4"/>
      <c r="BA30" s="4"/>
      <c r="BE30" s="4"/>
      <c r="BF30" s="1"/>
    </row>
    <row r="31" spans="1:58" x14ac:dyDescent="0.2">
      <c r="A31" s="31">
        <v>25</v>
      </c>
      <c r="B31" s="11" t="s">
        <v>24</v>
      </c>
      <c r="C31">
        <f>INDEX(materials_HAMFEM!$C$4:$AU$55,interface!$C$12,A31)</f>
        <v>0.5</v>
      </c>
      <c r="AK31" s="5"/>
      <c r="AL31" s="5"/>
      <c r="AZ31" s="4"/>
      <c r="BA31" s="4"/>
      <c r="BE31" s="4"/>
      <c r="BF31" s="1"/>
    </row>
    <row r="32" spans="1:58" x14ac:dyDescent="0.2">
      <c r="A32" s="31">
        <v>26</v>
      </c>
      <c r="B32" s="11" t="s">
        <v>25</v>
      </c>
      <c r="C32">
        <f>INDEX(materials_HAMFEM!$C$4:$AU$55,interface!$C$12,A32)</f>
        <v>0.1</v>
      </c>
      <c r="AK32" s="5"/>
      <c r="AL32" s="5"/>
      <c r="AZ32" s="4"/>
      <c r="BA32" s="4"/>
      <c r="BE32" s="4"/>
      <c r="BF32" s="1"/>
    </row>
    <row r="33" spans="1:58" x14ac:dyDescent="0.2">
      <c r="A33" s="31">
        <v>27</v>
      </c>
      <c r="B33" s="11" t="s">
        <v>26</v>
      </c>
      <c r="C33">
        <f>INDEX(materials_HAMFEM!$C$4:$AU$55,interface!$C$12,A33)</f>
        <v>-2.4700000000000001E-6</v>
      </c>
      <c r="AK33" s="5"/>
      <c r="AL33" s="5"/>
      <c r="AZ33" s="4"/>
      <c r="BA33" s="4"/>
      <c r="BE33" s="4"/>
      <c r="BF33" s="1"/>
    </row>
    <row r="34" spans="1:58" x14ac:dyDescent="0.2">
      <c r="A34" s="31">
        <v>28</v>
      </c>
      <c r="B34" s="11" t="s">
        <v>27</v>
      </c>
      <c r="C34">
        <f>INDEX(materials_HAMFEM!$C$4:$AU$55,interface!$C$12,A34)</f>
        <v>4.8</v>
      </c>
      <c r="AK34" s="5"/>
      <c r="AL34" s="5"/>
      <c r="AZ34" s="4"/>
      <c r="BA34" s="4"/>
      <c r="BE34" s="4"/>
      <c r="BF34" s="1"/>
    </row>
    <row r="35" spans="1:58" x14ac:dyDescent="0.2">
      <c r="A35" s="31">
        <v>29</v>
      </c>
      <c r="B35" s="11" t="s">
        <v>28</v>
      </c>
      <c r="C35">
        <f>INDEX(materials_HAMFEM!$C$4:$AU$55,interface!$C$12,A35)</f>
        <v>0.79200000000000004</v>
      </c>
      <c r="AK35" s="5"/>
      <c r="AL35" s="5"/>
      <c r="AZ35" s="4"/>
      <c r="BA35" s="4"/>
      <c r="BE35" s="4"/>
      <c r="BF35" s="1"/>
    </row>
    <row r="36" spans="1:58" x14ac:dyDescent="0.2">
      <c r="A36" s="31">
        <v>30</v>
      </c>
      <c r="B36" s="11" t="s">
        <v>29</v>
      </c>
      <c r="C36">
        <f>INDEX(materials_HAMFEM!$C$4:$AU$55,interface!$C$12,A36)</f>
        <v>0.85</v>
      </c>
      <c r="AK36" s="5"/>
      <c r="AL36" s="5"/>
      <c r="AZ36" s="4"/>
      <c r="BA36" s="4"/>
      <c r="BE36" s="4"/>
      <c r="BF36" s="1"/>
    </row>
    <row r="37" spans="1:58" x14ac:dyDescent="0.2">
      <c r="B37" s="11"/>
      <c r="AK37" s="5"/>
      <c r="AL37" s="5"/>
      <c r="AZ37" s="4"/>
      <c r="BA37" s="4"/>
      <c r="BE37" s="4"/>
      <c r="BF37" s="1"/>
    </row>
    <row r="38" spans="1:58" x14ac:dyDescent="0.2">
      <c r="AK38" s="5"/>
      <c r="AL38" s="5"/>
      <c r="AZ38" s="4"/>
      <c r="BA38" s="4"/>
      <c r="BE38" s="4"/>
      <c r="BF38" s="1"/>
    </row>
    <row r="39" spans="1:58" x14ac:dyDescent="0.2">
      <c r="AK39" s="5"/>
      <c r="AL39" s="5"/>
      <c r="AZ39" s="4"/>
      <c r="BA39" s="4"/>
      <c r="BE39" s="4"/>
      <c r="BF39" s="1"/>
    </row>
    <row r="40" spans="1:58" x14ac:dyDescent="0.2">
      <c r="AK40" s="5"/>
      <c r="AL40" s="5"/>
      <c r="AZ40" s="4"/>
      <c r="BA40" s="4"/>
      <c r="BE40" s="4"/>
      <c r="BF40" s="1"/>
    </row>
    <row r="41" spans="1:58" x14ac:dyDescent="0.2">
      <c r="AK41" s="5"/>
      <c r="AL41" s="5"/>
      <c r="AZ41" s="4"/>
      <c r="BA41" s="4"/>
      <c r="BE41" s="4"/>
      <c r="BF41" s="1"/>
    </row>
    <row r="42" spans="1:58" x14ac:dyDescent="0.2">
      <c r="AK42" s="5"/>
      <c r="AL42" s="5"/>
      <c r="AZ42" s="4"/>
      <c r="BA42" s="4"/>
      <c r="BE42" s="4"/>
      <c r="BF42" s="1"/>
    </row>
    <row r="43" spans="1:58" x14ac:dyDescent="0.2">
      <c r="AK43" s="5"/>
      <c r="AL43" s="5"/>
      <c r="AZ43" s="4"/>
      <c r="BA43" s="4"/>
      <c r="BE43" s="4"/>
      <c r="BF43" s="1"/>
    </row>
    <row r="44" spans="1:58" x14ac:dyDescent="0.2">
      <c r="AK44" s="5"/>
      <c r="AL44" s="5"/>
      <c r="AZ44" s="4"/>
      <c r="BA44" s="4"/>
      <c r="BE44" s="4"/>
      <c r="BF44" s="1"/>
    </row>
    <row r="45" spans="1:58" x14ac:dyDescent="0.2">
      <c r="AK45" s="5"/>
      <c r="AL45" s="5"/>
      <c r="AZ45" s="4"/>
      <c r="BA45" s="4"/>
      <c r="BE45" s="4"/>
      <c r="BF45" s="1"/>
    </row>
    <row r="46" spans="1:58" x14ac:dyDescent="0.2">
      <c r="AK46" s="5"/>
      <c r="AL46" s="5"/>
      <c r="AZ46" s="4"/>
      <c r="BA46" s="4"/>
      <c r="BE46" s="4"/>
      <c r="BF46" s="1"/>
    </row>
    <row r="47" spans="1:58" x14ac:dyDescent="0.2">
      <c r="AK47" s="5"/>
      <c r="AL47" s="5"/>
      <c r="AZ47" s="4"/>
      <c r="BA47" s="4"/>
      <c r="BE47" s="4"/>
      <c r="BF47" s="1"/>
    </row>
    <row r="48" spans="1:58" x14ac:dyDescent="0.2">
      <c r="AK48" s="5"/>
      <c r="AL48" s="5"/>
      <c r="AZ48" s="4"/>
      <c r="BA48" s="4"/>
      <c r="BE48" s="4"/>
      <c r="BF48" s="1"/>
    </row>
    <row r="49" spans="2:58" x14ac:dyDescent="0.2">
      <c r="AK49" s="5"/>
      <c r="AL49" s="5"/>
      <c r="AZ49" s="4"/>
      <c r="BA49" s="4"/>
      <c r="BE49" s="4"/>
      <c r="BF49" s="1"/>
    </row>
    <row r="50" spans="2:58" x14ac:dyDescent="0.2">
      <c r="AK50" s="5"/>
      <c r="AL50" s="5"/>
      <c r="AZ50" s="4"/>
      <c r="BA50" s="4"/>
      <c r="BE50" s="4"/>
      <c r="BF50" s="1"/>
    </row>
    <row r="51" spans="2:58" x14ac:dyDescent="0.2">
      <c r="AK51" s="5"/>
      <c r="AL51" s="5"/>
      <c r="AZ51" s="4"/>
      <c r="BA51" s="4"/>
      <c r="BE51" s="4"/>
      <c r="BF51" s="1"/>
    </row>
    <row r="52" spans="2:58" x14ac:dyDescent="0.2">
      <c r="AK52" s="5"/>
      <c r="AL52" s="5"/>
      <c r="AZ52" s="4"/>
      <c r="BA52" s="4"/>
      <c r="BE52" s="4"/>
      <c r="BF52" s="1"/>
    </row>
    <row r="53" spans="2:58" x14ac:dyDescent="0.2">
      <c r="B53" s="4"/>
      <c r="C53" s="4"/>
      <c r="AK53" s="5"/>
      <c r="AL53" s="5"/>
      <c r="AZ53" s="4"/>
      <c r="BA53" s="4"/>
      <c r="BE53" s="4"/>
      <c r="BF53" s="1"/>
    </row>
    <row r="54" spans="2:58" x14ac:dyDescent="0.2">
      <c r="B54" s="4"/>
      <c r="C54" s="4"/>
      <c r="AK54" s="5"/>
      <c r="AL54" s="5"/>
      <c r="AZ54" s="4"/>
      <c r="BA54" s="4"/>
      <c r="BE54" s="4"/>
      <c r="BF54" s="1"/>
    </row>
    <row r="55" spans="2:58" x14ac:dyDescent="0.2">
      <c r="B55" s="4"/>
      <c r="C55" s="4"/>
      <c r="AK55" s="5"/>
      <c r="AL55" s="5"/>
      <c r="AZ55" s="4"/>
      <c r="BA55" s="4"/>
      <c r="BE55" s="4"/>
      <c r="BF55" s="1"/>
    </row>
    <row r="56" spans="2:58" x14ac:dyDescent="0.2">
      <c r="B56" s="4"/>
      <c r="C56" s="4"/>
      <c r="AK56" s="5"/>
      <c r="AL56" s="5"/>
      <c r="AZ56" s="4"/>
      <c r="BA56" s="4"/>
      <c r="BE56" s="4"/>
      <c r="BF56" s="1"/>
    </row>
    <row r="57" spans="2:58" x14ac:dyDescent="0.2">
      <c r="B57" s="4"/>
      <c r="C57" s="4"/>
      <c r="AK57" s="5"/>
      <c r="AL57" s="5"/>
      <c r="AZ57" s="4"/>
      <c r="BA57" s="4"/>
      <c r="BE57" s="4"/>
      <c r="BF57" s="1"/>
    </row>
    <row r="58" spans="2:58" x14ac:dyDescent="0.2">
      <c r="B58" s="4"/>
      <c r="C58" s="4"/>
      <c r="AK58" s="5"/>
      <c r="AL58" s="5"/>
      <c r="AZ58" s="4"/>
      <c r="BA58" s="4"/>
      <c r="BE58" s="4"/>
      <c r="BF58" s="1"/>
    </row>
    <row r="59" spans="2:58" x14ac:dyDescent="0.2">
      <c r="B59" s="4"/>
      <c r="C59" s="4"/>
      <c r="AK59" s="5"/>
      <c r="AL59" s="5"/>
      <c r="AZ59" s="4"/>
      <c r="BA59" s="4"/>
      <c r="BE59" s="4"/>
      <c r="BF59" s="1"/>
    </row>
    <row r="60" spans="2:58" x14ac:dyDescent="0.2">
      <c r="B60" s="4"/>
      <c r="C60" s="4"/>
      <c r="AK60" s="5"/>
      <c r="AL60" s="5"/>
      <c r="AZ60" s="4"/>
      <c r="BA60" s="4"/>
      <c r="BE60" s="4"/>
      <c r="BF60" s="1"/>
    </row>
    <row r="61" spans="2:58" x14ac:dyDescent="0.2">
      <c r="B61" s="4"/>
      <c r="C61" s="4"/>
      <c r="AK61" s="5"/>
      <c r="AL61" s="5"/>
      <c r="AZ61" s="4"/>
      <c r="BA61" s="4"/>
      <c r="BE61" s="4"/>
      <c r="BF61" s="1"/>
    </row>
    <row r="62" spans="2:58" x14ac:dyDescent="0.2">
      <c r="B62" s="4"/>
      <c r="C62" s="4"/>
      <c r="AK62" s="5"/>
      <c r="AL62" s="5"/>
      <c r="AZ62" s="4"/>
      <c r="BA62" s="4"/>
      <c r="BE62" s="4"/>
      <c r="BF62" s="1"/>
    </row>
    <row r="63" spans="2:58" x14ac:dyDescent="0.2">
      <c r="B63" s="4"/>
      <c r="C63" s="4"/>
      <c r="AK63" s="5"/>
      <c r="AL63" s="5"/>
      <c r="AZ63" s="4"/>
      <c r="BA63" s="4"/>
      <c r="BE63" s="4"/>
      <c r="BF63" s="1"/>
    </row>
    <row r="64" spans="2:58" x14ac:dyDescent="0.2">
      <c r="B64" s="4"/>
      <c r="C64" s="4"/>
      <c r="AK64" s="5"/>
      <c r="AL64" s="5"/>
      <c r="AZ64" s="4"/>
      <c r="BA64" s="4"/>
      <c r="BE64" s="4"/>
      <c r="BF64" s="1"/>
    </row>
    <row r="65" spans="2:58" x14ac:dyDescent="0.2">
      <c r="B65" s="4"/>
      <c r="C65" s="4"/>
      <c r="AK65" s="5"/>
      <c r="AL65" s="5"/>
      <c r="AZ65" s="4"/>
      <c r="BA65" s="4"/>
      <c r="BE65" s="4"/>
      <c r="BF65" s="1"/>
    </row>
    <row r="66" spans="2:58" x14ac:dyDescent="0.2">
      <c r="B66" s="4"/>
      <c r="C66" s="4"/>
      <c r="AK66" s="5"/>
      <c r="AL66" s="5"/>
      <c r="AZ66" s="4"/>
      <c r="BA66" s="4"/>
      <c r="BE66" s="4"/>
      <c r="BF66" s="1"/>
    </row>
    <row r="67" spans="2:58" x14ac:dyDescent="0.2">
      <c r="B67" s="4"/>
      <c r="C67" s="4"/>
      <c r="AK67" s="5"/>
      <c r="AL67" s="5"/>
      <c r="AZ67" s="4"/>
      <c r="BA67" s="4"/>
      <c r="BE67" s="4"/>
      <c r="BF67" s="1"/>
    </row>
    <row r="68" spans="2:58" x14ac:dyDescent="0.2">
      <c r="B68" s="4"/>
      <c r="C68" s="4"/>
      <c r="AK68" s="5"/>
      <c r="AL68" s="5"/>
      <c r="AZ68" s="4"/>
      <c r="BA68" s="4"/>
      <c r="BE68" s="4"/>
      <c r="BF68" s="1"/>
    </row>
    <row r="69" spans="2:58" x14ac:dyDescent="0.2">
      <c r="B69" s="4"/>
      <c r="C69" s="4"/>
      <c r="AK69" s="5"/>
      <c r="AL69" s="5"/>
      <c r="AZ69" s="4"/>
      <c r="BA69" s="4"/>
      <c r="BE69" s="4"/>
      <c r="BF69" s="1"/>
    </row>
    <row r="70" spans="2:58" x14ac:dyDescent="0.2">
      <c r="B70" s="4"/>
      <c r="C70" s="4"/>
      <c r="AK70" s="5"/>
      <c r="AL70" s="5"/>
      <c r="AZ70" s="4"/>
      <c r="BA70" s="4"/>
      <c r="BE70" s="4"/>
      <c r="BF70" s="1"/>
    </row>
    <row r="71" spans="2:58" x14ac:dyDescent="0.2">
      <c r="B71" s="4"/>
      <c r="C71" s="4"/>
      <c r="AK71" s="5"/>
      <c r="AL71" s="5"/>
      <c r="AZ71" s="4"/>
      <c r="BA71" s="4"/>
      <c r="BE71" s="4"/>
      <c r="BF71" s="1"/>
    </row>
    <row r="72" spans="2:58" x14ac:dyDescent="0.2">
      <c r="B72" s="4"/>
      <c r="C72" s="4"/>
      <c r="AK72" s="5"/>
      <c r="AL72" s="5"/>
      <c r="AZ72" s="4"/>
      <c r="BA72" s="4"/>
      <c r="BE72" s="4"/>
      <c r="BF72" s="1"/>
    </row>
    <row r="73" spans="2:58" x14ac:dyDescent="0.2">
      <c r="B73" s="4"/>
      <c r="C73" s="4"/>
      <c r="AK73" s="5"/>
      <c r="AL73" s="5"/>
      <c r="AZ73" s="4"/>
      <c r="BA73" s="4"/>
      <c r="BE73" s="4"/>
      <c r="BF73" s="1"/>
    </row>
    <row r="74" spans="2:58" x14ac:dyDescent="0.2">
      <c r="B74" s="4"/>
      <c r="C74" s="4"/>
      <c r="AK74" s="5"/>
      <c r="AL74" s="5"/>
      <c r="AZ74" s="4"/>
      <c r="BA74" s="4"/>
      <c r="BE74" s="4"/>
      <c r="BF74" s="1"/>
    </row>
    <row r="75" spans="2:58" x14ac:dyDescent="0.2">
      <c r="B75" s="4"/>
      <c r="C75" s="4"/>
      <c r="AK75" s="5"/>
      <c r="AL75" s="5"/>
      <c r="AZ75" s="4"/>
      <c r="BA75" s="4"/>
      <c r="BE75" s="4"/>
      <c r="BF75" s="1"/>
    </row>
    <row r="76" spans="2:58" x14ac:dyDescent="0.2">
      <c r="B76" s="4"/>
      <c r="C76" s="4"/>
      <c r="AK76" s="5"/>
      <c r="AL76" s="5"/>
      <c r="AZ76" s="4"/>
      <c r="BA76" s="4"/>
      <c r="BE76" s="4"/>
      <c r="BF76" s="1"/>
    </row>
    <row r="77" spans="2:58" x14ac:dyDescent="0.2">
      <c r="B77" s="4"/>
      <c r="C77" s="4"/>
      <c r="AK77" s="5"/>
      <c r="AL77" s="5"/>
      <c r="AZ77" s="4"/>
      <c r="BA77" s="4"/>
      <c r="BE77" s="4"/>
      <c r="BF77" s="1"/>
    </row>
    <row r="78" spans="2:58" x14ac:dyDescent="0.2">
      <c r="B78" s="4"/>
      <c r="C78" s="4"/>
      <c r="AK78" s="5"/>
      <c r="AL78" s="5"/>
      <c r="AZ78" s="4"/>
      <c r="BA78" s="4"/>
      <c r="BE78" s="4"/>
      <c r="BF78" s="1"/>
    </row>
    <row r="79" spans="2:58" x14ac:dyDescent="0.2">
      <c r="B79" s="4"/>
      <c r="C79" s="4"/>
      <c r="AK79" s="5"/>
      <c r="AL79" s="5"/>
      <c r="AZ79" s="4"/>
      <c r="BA79" s="4"/>
      <c r="BE79" s="4"/>
      <c r="BF79" s="1"/>
    </row>
    <row r="80" spans="2:58" x14ac:dyDescent="0.2">
      <c r="B80" s="4"/>
      <c r="C80" s="4"/>
      <c r="AK80" s="5"/>
      <c r="AL80" s="5"/>
      <c r="AZ80" s="4"/>
      <c r="BA80" s="4"/>
      <c r="BE80" s="4"/>
      <c r="BF80" s="1"/>
    </row>
    <row r="81" spans="2:58" x14ac:dyDescent="0.2">
      <c r="B81" s="4"/>
      <c r="C81" s="4"/>
      <c r="AK81" s="5"/>
      <c r="AL81" s="5"/>
      <c r="AZ81" s="4"/>
      <c r="BA81" s="4"/>
      <c r="BE81" s="4"/>
      <c r="BF81" s="1"/>
    </row>
    <row r="82" spans="2:58" x14ac:dyDescent="0.2">
      <c r="B82" s="4"/>
      <c r="C82" s="4"/>
      <c r="AK82" s="5"/>
      <c r="AL82" s="5"/>
      <c r="AZ82" s="4"/>
      <c r="BA82" s="4"/>
      <c r="BE82" s="4"/>
      <c r="BF82" s="1"/>
    </row>
    <row r="83" spans="2:58" x14ac:dyDescent="0.2">
      <c r="B83" s="4"/>
      <c r="C83" s="4"/>
      <c r="AK83" s="5"/>
      <c r="AL83" s="5"/>
      <c r="AZ83" s="4"/>
      <c r="BA83" s="4"/>
      <c r="BE83" s="4"/>
      <c r="BF83" s="1"/>
    </row>
    <row r="84" spans="2:58" x14ac:dyDescent="0.2">
      <c r="B84" s="4"/>
      <c r="C84" s="4"/>
      <c r="AK84" s="5"/>
      <c r="AL84" s="5"/>
      <c r="AZ84" s="4"/>
      <c r="BA84" s="4"/>
      <c r="BE84" s="4"/>
      <c r="BF84" s="1"/>
    </row>
    <row r="85" spans="2:58" x14ac:dyDescent="0.2">
      <c r="B85" s="4"/>
      <c r="C85" s="4"/>
      <c r="AK85" s="5"/>
      <c r="AL85" s="5"/>
      <c r="AZ85" s="4"/>
      <c r="BA85" s="4"/>
      <c r="BE85" s="4"/>
      <c r="BF85" s="1"/>
    </row>
    <row r="86" spans="2:58" x14ac:dyDescent="0.2">
      <c r="B86" s="4"/>
      <c r="C86" s="4"/>
      <c r="AK86" s="5"/>
      <c r="AL86" s="5"/>
      <c r="AZ86" s="4"/>
      <c r="BA86" s="4"/>
      <c r="BE86" s="4"/>
      <c r="BF86" s="1"/>
    </row>
    <row r="87" spans="2:58" x14ac:dyDescent="0.2">
      <c r="B87" s="4"/>
      <c r="C87" s="4"/>
      <c r="AK87" s="5"/>
      <c r="AL87" s="5"/>
      <c r="AZ87" s="4"/>
      <c r="BA87" s="4"/>
      <c r="BE87" s="4"/>
      <c r="BF87" s="1"/>
    </row>
    <row r="88" spans="2:58" x14ac:dyDescent="0.2">
      <c r="B88" s="4"/>
      <c r="C88" s="4"/>
      <c r="AK88" s="5"/>
      <c r="AL88" s="5"/>
      <c r="AZ88" s="4"/>
      <c r="BA88" s="4"/>
      <c r="BE88" s="4"/>
      <c r="BF88" s="1"/>
    </row>
    <row r="89" spans="2:58" x14ac:dyDescent="0.2">
      <c r="B89" s="4"/>
      <c r="C89" s="4"/>
      <c r="AK89" s="5"/>
      <c r="AL89" s="5"/>
      <c r="AZ89" s="4"/>
      <c r="BA89" s="4"/>
      <c r="BE89" s="4"/>
      <c r="BF89" s="1"/>
    </row>
    <row r="90" spans="2:58" x14ac:dyDescent="0.2">
      <c r="B90" s="4"/>
      <c r="C90" s="4"/>
      <c r="AK90" s="5"/>
      <c r="AL90" s="5"/>
      <c r="AZ90" s="4"/>
      <c r="BA90" s="4"/>
      <c r="BE90" s="4"/>
      <c r="BF90" s="1"/>
    </row>
    <row r="91" spans="2:58" x14ac:dyDescent="0.2">
      <c r="B91" s="4"/>
      <c r="C91" s="4"/>
      <c r="AK91" s="5"/>
      <c r="AL91" s="5"/>
      <c r="AZ91" s="4"/>
      <c r="BA91" s="4"/>
      <c r="BE91" s="4"/>
      <c r="BF91" s="1"/>
    </row>
    <row r="92" spans="2:58" x14ac:dyDescent="0.2">
      <c r="B92" s="4"/>
      <c r="C92" s="4"/>
      <c r="AK92" s="5"/>
      <c r="AL92" s="5"/>
      <c r="AZ92" s="4"/>
      <c r="BA92" s="4"/>
      <c r="BE92" s="4"/>
      <c r="BF92" s="1"/>
    </row>
    <row r="93" spans="2:58" x14ac:dyDescent="0.2">
      <c r="B93" s="4"/>
      <c r="C93" s="4"/>
      <c r="AK93" s="5"/>
      <c r="AL93" s="5"/>
      <c r="AZ93" s="4"/>
      <c r="BA93" s="4"/>
      <c r="BE93" s="4"/>
      <c r="BF93" s="1"/>
    </row>
    <row r="94" spans="2:58" x14ac:dyDescent="0.2">
      <c r="B94" s="4"/>
      <c r="C94" s="4"/>
      <c r="AK94" s="5"/>
      <c r="AL94" s="5"/>
      <c r="AZ94" s="4"/>
      <c r="BA94" s="4"/>
      <c r="BE94" s="4"/>
      <c r="BF94" s="1"/>
    </row>
    <row r="95" spans="2:58" x14ac:dyDescent="0.2">
      <c r="B95" s="4"/>
      <c r="C95" s="4"/>
      <c r="AK95" s="5"/>
      <c r="AL95" s="5"/>
      <c r="AZ95" s="4"/>
      <c r="BA95" s="4"/>
      <c r="BE95" s="4"/>
      <c r="BF95" s="1"/>
    </row>
    <row r="96" spans="2:58" x14ac:dyDescent="0.2">
      <c r="B96" s="4"/>
      <c r="C96" s="4"/>
      <c r="AK96" s="5"/>
      <c r="AL96" s="5"/>
      <c r="AZ96" s="4"/>
      <c r="BA96" s="4"/>
      <c r="BE96" s="4"/>
      <c r="BF96" s="1"/>
    </row>
    <row r="97" spans="2:58" x14ac:dyDescent="0.2">
      <c r="B97" s="4"/>
      <c r="C97" s="4"/>
      <c r="AK97" s="5"/>
      <c r="AL97" s="5"/>
      <c r="AZ97" s="4"/>
      <c r="BA97" s="4"/>
      <c r="BE97" s="4"/>
      <c r="BF97" s="1"/>
    </row>
    <row r="98" spans="2:58" x14ac:dyDescent="0.2">
      <c r="B98" s="4"/>
      <c r="C98" s="4"/>
      <c r="AK98" s="5"/>
      <c r="AL98" s="5"/>
      <c r="AZ98" s="4"/>
      <c r="BA98" s="4"/>
      <c r="BE98" s="4"/>
      <c r="BF98" s="1"/>
    </row>
    <row r="99" spans="2:58" x14ac:dyDescent="0.2">
      <c r="B99" s="4"/>
      <c r="C99" s="4"/>
      <c r="AK99" s="5"/>
      <c r="AL99" s="5"/>
      <c r="AZ99" s="4"/>
      <c r="BA99" s="4"/>
      <c r="BE99" s="4"/>
      <c r="BF99" s="1"/>
    </row>
    <row r="100" spans="2:58" x14ac:dyDescent="0.2">
      <c r="B100" s="4"/>
      <c r="C100" s="4"/>
      <c r="AK100" s="5"/>
      <c r="AL100" s="5"/>
      <c r="AZ100" s="4"/>
      <c r="BA100" s="4"/>
      <c r="BE100" s="4"/>
      <c r="BF100" s="1"/>
    </row>
    <row r="101" spans="2:58" x14ac:dyDescent="0.2">
      <c r="B101" s="4"/>
      <c r="C101" s="4"/>
      <c r="AK101" s="5"/>
      <c r="AL101" s="5"/>
      <c r="AZ101" s="4"/>
      <c r="BA101" s="4"/>
      <c r="BE101" s="4"/>
      <c r="BF101" s="1"/>
    </row>
    <row r="102" spans="2:58" x14ac:dyDescent="0.2">
      <c r="B102" s="4"/>
      <c r="C102" s="4"/>
      <c r="AK102" s="5"/>
      <c r="AL102" s="5"/>
      <c r="AZ102" s="4"/>
      <c r="BA102" s="4"/>
      <c r="BE102" s="4"/>
      <c r="BF102" s="1"/>
    </row>
    <row r="103" spans="2:58" x14ac:dyDescent="0.2">
      <c r="B103" s="4"/>
      <c r="C103" s="4"/>
      <c r="AK103" s="5"/>
      <c r="AL103" s="5"/>
      <c r="AZ103" s="4"/>
      <c r="BA103" s="4"/>
      <c r="BE103" s="4"/>
      <c r="BF103" s="1"/>
    </row>
    <row r="104" spans="2:58" x14ac:dyDescent="0.2">
      <c r="B104" s="4"/>
      <c r="C104" s="4"/>
      <c r="AK104" s="5"/>
      <c r="AL104" s="5"/>
      <c r="AZ104" s="4"/>
      <c r="BA104" s="4"/>
      <c r="BE104" s="4"/>
      <c r="BF104" s="1"/>
    </row>
    <row r="105" spans="2:58" x14ac:dyDescent="0.2">
      <c r="B105" s="4"/>
      <c r="C105" s="4"/>
      <c r="AK105" s="5"/>
      <c r="AL105" s="5"/>
      <c r="AZ105" s="4"/>
      <c r="BA105" s="4"/>
      <c r="BE105" s="4"/>
      <c r="BF105" s="1"/>
    </row>
    <row r="106" spans="2:58" x14ac:dyDescent="0.2">
      <c r="B106" s="4"/>
      <c r="C106" s="4"/>
      <c r="AK106" s="5"/>
      <c r="AL106" s="5"/>
      <c r="AZ106" s="4"/>
      <c r="BA106" s="4"/>
      <c r="BE106" s="4"/>
      <c r="BF106" s="1"/>
    </row>
    <row r="107" spans="2:58" x14ac:dyDescent="0.2">
      <c r="B107" s="4"/>
      <c r="C107" s="4"/>
      <c r="AK107" s="5"/>
      <c r="AL107" s="5"/>
      <c r="AZ107" s="4"/>
      <c r="BA107" s="4"/>
      <c r="BE107" s="4"/>
      <c r="BF107" s="1"/>
    </row>
    <row r="108" spans="2:58" x14ac:dyDescent="0.2">
      <c r="B108" s="4"/>
      <c r="C108" s="4"/>
      <c r="AK108" s="5"/>
      <c r="AL108" s="5"/>
      <c r="AZ108" s="4"/>
      <c r="BA108" s="4"/>
      <c r="BE108" s="4"/>
      <c r="BF108" s="1"/>
    </row>
    <row r="109" spans="2:58" x14ac:dyDescent="0.2">
      <c r="B109" s="4"/>
      <c r="C109" s="4"/>
      <c r="AK109" s="5"/>
      <c r="AL109" s="5"/>
      <c r="AZ109" s="4"/>
      <c r="BA109" s="4"/>
      <c r="BE109" s="4"/>
      <c r="BF109" s="1"/>
    </row>
    <row r="110" spans="2:58" x14ac:dyDescent="0.2">
      <c r="B110" s="4"/>
      <c r="C110" s="4"/>
      <c r="AK110" s="5"/>
      <c r="AL110" s="5"/>
      <c r="AZ110" s="4"/>
      <c r="BA110" s="4"/>
      <c r="BE110" s="4"/>
      <c r="BF110" s="1"/>
    </row>
    <row r="111" spans="2:58" x14ac:dyDescent="0.2">
      <c r="B111" s="4"/>
      <c r="C111" s="4"/>
      <c r="AK111" s="5"/>
      <c r="AL111" s="5"/>
      <c r="AZ111" s="4"/>
      <c r="BA111" s="4"/>
      <c r="BE111" s="4"/>
      <c r="BF111" s="1"/>
    </row>
    <row r="112" spans="2:58" x14ac:dyDescent="0.2">
      <c r="B112" s="4"/>
      <c r="C112" s="4"/>
      <c r="AK112" s="5"/>
      <c r="AL112" s="5"/>
      <c r="AZ112" s="4"/>
      <c r="BA112" s="4"/>
      <c r="BE112" s="4"/>
      <c r="BF112" s="1"/>
    </row>
    <row r="113" spans="2:58" x14ac:dyDescent="0.2">
      <c r="B113" s="4"/>
      <c r="C113" s="4"/>
      <c r="AK113" s="5"/>
      <c r="AL113" s="5"/>
      <c r="AZ113" s="4"/>
      <c r="BA113" s="4"/>
      <c r="BE113" s="4"/>
      <c r="BF113" s="1"/>
    </row>
    <row r="114" spans="2:58" x14ac:dyDescent="0.2">
      <c r="B114" s="4"/>
      <c r="C114" s="4"/>
      <c r="AK114" s="5"/>
      <c r="AL114" s="5"/>
      <c r="AZ114" s="4"/>
      <c r="BA114" s="4"/>
      <c r="BE114" s="4"/>
      <c r="BF114" s="1"/>
    </row>
    <row r="115" spans="2:58" x14ac:dyDescent="0.2">
      <c r="B115" s="4"/>
      <c r="C115" s="4"/>
      <c r="AK115" s="5"/>
      <c r="AL115" s="5"/>
      <c r="AZ115" s="4"/>
      <c r="BA115" s="4"/>
      <c r="BE115" s="4"/>
      <c r="BF115" s="1"/>
    </row>
    <row r="116" spans="2:58" x14ac:dyDescent="0.2">
      <c r="B116" s="4"/>
      <c r="C116" s="4"/>
      <c r="AK116" s="5"/>
      <c r="AL116" s="5"/>
      <c r="AZ116" s="4"/>
      <c r="BA116" s="4"/>
      <c r="BE116" s="4"/>
      <c r="BF116" s="1"/>
    </row>
    <row r="117" spans="2:58" x14ac:dyDescent="0.2">
      <c r="B117" s="4"/>
      <c r="C117" s="4"/>
      <c r="AK117" s="5"/>
      <c r="AL117" s="5"/>
      <c r="AZ117" s="4"/>
      <c r="BA117" s="4"/>
      <c r="BE117" s="4"/>
      <c r="BF117" s="1"/>
    </row>
    <row r="118" spans="2:58" x14ac:dyDescent="0.2">
      <c r="B118" s="4"/>
      <c r="C118" s="4"/>
      <c r="AK118" s="5"/>
      <c r="AL118" s="5"/>
      <c r="AZ118" s="4"/>
      <c r="BA118" s="4"/>
      <c r="BE118" s="4"/>
      <c r="BF118" s="1"/>
    </row>
    <row r="119" spans="2:58" x14ac:dyDescent="0.2">
      <c r="B119" s="4"/>
      <c r="C119" s="4"/>
      <c r="AK119" s="5"/>
      <c r="AL119" s="5"/>
      <c r="AZ119" s="4"/>
      <c r="BA119" s="4"/>
      <c r="BE119" s="4"/>
      <c r="BF119" s="1"/>
    </row>
    <row r="120" spans="2:58" x14ac:dyDescent="0.2">
      <c r="B120" s="4"/>
      <c r="C120" s="4"/>
      <c r="AK120" s="5"/>
      <c r="AL120" s="5"/>
      <c r="AZ120" s="4"/>
      <c r="BA120" s="4"/>
      <c r="BE120" s="4"/>
      <c r="BF120" s="1"/>
    </row>
    <row r="121" spans="2:58" x14ac:dyDescent="0.2">
      <c r="B121" s="4"/>
      <c r="C121" s="4"/>
      <c r="AK121" s="5"/>
      <c r="AL121" s="5"/>
      <c r="AZ121" s="4"/>
      <c r="BA121" s="4"/>
      <c r="BE121" s="4"/>
      <c r="BF121" s="1"/>
    </row>
    <row r="122" spans="2:58" x14ac:dyDescent="0.2">
      <c r="B122" s="4"/>
      <c r="C122" s="4"/>
      <c r="AK122" s="5"/>
      <c r="AL122" s="5"/>
      <c r="AZ122" s="4"/>
      <c r="BA122" s="4"/>
      <c r="BE122" s="4"/>
      <c r="BF122" s="1"/>
    </row>
    <row r="123" spans="2:58" x14ac:dyDescent="0.2">
      <c r="B123" s="4"/>
      <c r="C123" s="4"/>
      <c r="AK123" s="5"/>
      <c r="AL123" s="5"/>
      <c r="AZ123" s="4"/>
      <c r="BA123" s="4"/>
      <c r="BE123" s="4"/>
      <c r="BF123" s="1"/>
    </row>
    <row r="124" spans="2:58" x14ac:dyDescent="0.2">
      <c r="B124" s="4"/>
      <c r="C124" s="4"/>
      <c r="AK124" s="5"/>
      <c r="AL124" s="5"/>
      <c r="AZ124" s="4"/>
      <c r="BA124" s="4"/>
      <c r="BE124" s="4"/>
      <c r="BF124" s="1"/>
    </row>
    <row r="125" spans="2:58" x14ac:dyDescent="0.2">
      <c r="B125" s="4"/>
      <c r="C125" s="4"/>
      <c r="AK125" s="5"/>
      <c r="AL125" s="5"/>
      <c r="AZ125" s="4"/>
      <c r="BA125" s="4"/>
      <c r="BE125" s="4"/>
      <c r="BF125" s="1"/>
    </row>
    <row r="126" spans="2:58" x14ac:dyDescent="0.2">
      <c r="B126" s="4"/>
      <c r="C126" s="4"/>
      <c r="AK126" s="5"/>
      <c r="AL126" s="5"/>
      <c r="AZ126" s="4"/>
      <c r="BA126" s="4"/>
      <c r="BE126" s="4"/>
      <c r="BF126" s="1"/>
    </row>
    <row r="127" spans="2:58" x14ac:dyDescent="0.2">
      <c r="B127" s="4"/>
      <c r="C127" s="4"/>
      <c r="AK127" s="5"/>
      <c r="AL127" s="5"/>
      <c r="AZ127" s="4"/>
      <c r="BA127" s="4"/>
      <c r="BE127" s="4"/>
      <c r="BF127" s="1"/>
    </row>
    <row r="128" spans="2:58" x14ac:dyDescent="0.2">
      <c r="B128" s="4"/>
      <c r="C128" s="4"/>
      <c r="AK128" s="5"/>
      <c r="AL128" s="5"/>
      <c r="AZ128" s="4"/>
      <c r="BA128" s="4"/>
      <c r="BE128" s="4"/>
      <c r="BF128" s="1"/>
    </row>
    <row r="129" spans="2:58" x14ac:dyDescent="0.2">
      <c r="B129" s="4"/>
      <c r="C129" s="4"/>
      <c r="AK129" s="5"/>
      <c r="AL129" s="5"/>
      <c r="AZ129" s="4"/>
      <c r="BA129" s="4"/>
      <c r="BE129" s="4"/>
      <c r="BF129" s="1"/>
    </row>
    <row r="130" spans="2:58" x14ac:dyDescent="0.2">
      <c r="B130" s="4"/>
      <c r="C130" s="4"/>
      <c r="AK130" s="5"/>
      <c r="AL130" s="5"/>
      <c r="AZ130" s="4"/>
      <c r="BA130" s="4"/>
      <c r="BE130" s="4"/>
      <c r="BF130" s="1"/>
    </row>
    <row r="131" spans="2:58" x14ac:dyDescent="0.2">
      <c r="B131" s="4"/>
      <c r="C131" s="4"/>
      <c r="AK131" s="5"/>
      <c r="AL131" s="5"/>
      <c r="AZ131" s="4"/>
      <c r="BA131" s="4"/>
      <c r="BE131" s="4"/>
      <c r="BF131" s="1"/>
    </row>
    <row r="132" spans="2:58" x14ac:dyDescent="0.2">
      <c r="B132" s="4"/>
      <c r="C132" s="4"/>
      <c r="AK132" s="5"/>
      <c r="AL132" s="5"/>
      <c r="AZ132" s="4"/>
      <c r="BA132" s="4"/>
      <c r="BE132" s="4"/>
      <c r="BF132" s="1"/>
    </row>
    <row r="133" spans="2:58" x14ac:dyDescent="0.2">
      <c r="B133" s="4"/>
      <c r="C133" s="4"/>
      <c r="AK133" s="5"/>
      <c r="AL133" s="5"/>
      <c r="AZ133" s="4"/>
      <c r="BA133" s="4"/>
      <c r="BE133" s="4"/>
      <c r="BF133" s="1"/>
    </row>
    <row r="134" spans="2:58" x14ac:dyDescent="0.2">
      <c r="B134" s="4"/>
      <c r="C134" s="4"/>
      <c r="AK134" s="5"/>
      <c r="AL134" s="5"/>
      <c r="AZ134" s="4"/>
      <c r="BA134" s="4"/>
      <c r="BE134" s="4"/>
      <c r="BF134" s="1"/>
    </row>
    <row r="135" spans="2:58" x14ac:dyDescent="0.2">
      <c r="B135" s="4"/>
      <c r="C135" s="4"/>
      <c r="AK135" s="5"/>
      <c r="AL135" s="5"/>
      <c r="AZ135" s="4"/>
      <c r="BA135" s="4"/>
      <c r="BE135" s="4"/>
      <c r="BF135" s="1"/>
    </row>
    <row r="136" spans="2:58" x14ac:dyDescent="0.2">
      <c r="B136" s="4"/>
      <c r="C136" s="4"/>
      <c r="AK136" s="5"/>
      <c r="AL136" s="5"/>
      <c r="AZ136" s="4"/>
      <c r="BA136" s="4"/>
      <c r="BE136" s="4"/>
      <c r="BF136" s="1"/>
    </row>
    <row r="137" spans="2:58" x14ac:dyDescent="0.2">
      <c r="B137" s="4"/>
      <c r="C137" s="4"/>
      <c r="AK137" s="5"/>
      <c r="AL137" s="5"/>
      <c r="AZ137" s="4"/>
      <c r="BA137" s="4"/>
      <c r="BE137" s="4"/>
      <c r="BF137" s="1"/>
    </row>
    <row r="138" spans="2:58" x14ac:dyDescent="0.2">
      <c r="B138" s="4"/>
      <c r="C138" s="4"/>
      <c r="AK138" s="5"/>
      <c r="AL138" s="5"/>
      <c r="AZ138" s="4"/>
      <c r="BA138" s="4"/>
      <c r="BE138" s="4"/>
      <c r="BF138" s="1"/>
    </row>
    <row r="139" spans="2:58" x14ac:dyDescent="0.2">
      <c r="B139" s="4"/>
      <c r="C139" s="4"/>
      <c r="AK139" s="5"/>
      <c r="AL139" s="5"/>
      <c r="AZ139" s="4"/>
      <c r="BA139" s="4"/>
      <c r="BE139" s="4"/>
      <c r="BF139" s="1"/>
    </row>
    <row r="140" spans="2:58" x14ac:dyDescent="0.2">
      <c r="B140" s="4"/>
      <c r="C140" s="4"/>
      <c r="AK140" s="5"/>
      <c r="AL140" s="5"/>
      <c r="AZ140" s="4"/>
      <c r="BA140" s="4"/>
      <c r="BE140" s="4"/>
      <c r="BF140" s="1"/>
    </row>
    <row r="141" spans="2:58" x14ac:dyDescent="0.2">
      <c r="B141" s="4"/>
      <c r="C141" s="4"/>
      <c r="AK141" s="5"/>
      <c r="AL141" s="5"/>
      <c r="AZ141" s="4"/>
      <c r="BA141" s="4"/>
      <c r="BE141" s="4"/>
      <c r="BF141" s="1"/>
    </row>
    <row r="142" spans="2:58" x14ac:dyDescent="0.2">
      <c r="B142" s="4"/>
      <c r="C142" s="4"/>
      <c r="AK142" s="5"/>
      <c r="AL142" s="5"/>
      <c r="AZ142" s="4"/>
      <c r="BA142" s="4"/>
      <c r="BE142" s="4"/>
      <c r="BF142" s="1"/>
    </row>
    <row r="143" spans="2:58" x14ac:dyDescent="0.2">
      <c r="B143" s="4"/>
      <c r="C143" s="4"/>
      <c r="AK143" s="5"/>
      <c r="AL143" s="5"/>
      <c r="AZ143" s="4"/>
      <c r="BA143" s="4"/>
      <c r="BE143" s="4"/>
      <c r="BF143" s="1"/>
    </row>
    <row r="144" spans="2:58" x14ac:dyDescent="0.2">
      <c r="B144" s="4"/>
      <c r="C144" s="4"/>
      <c r="AK144" s="5"/>
      <c r="AL144" s="5"/>
      <c r="AZ144" s="4"/>
      <c r="BA144" s="4"/>
      <c r="BE144" s="4"/>
      <c r="BF144" s="1"/>
    </row>
    <row r="145" spans="2:58" x14ac:dyDescent="0.2">
      <c r="B145" s="4"/>
      <c r="C145" s="4"/>
      <c r="AK145" s="5"/>
      <c r="AL145" s="5"/>
      <c r="AZ145" s="4"/>
      <c r="BA145" s="4"/>
      <c r="BE145" s="4"/>
      <c r="BF145" s="1"/>
    </row>
    <row r="146" spans="2:58" x14ac:dyDescent="0.2">
      <c r="B146" s="4"/>
      <c r="C146" s="4"/>
      <c r="AK146" s="5"/>
      <c r="AL146" s="5"/>
      <c r="AZ146" s="4"/>
      <c r="BA146" s="4"/>
      <c r="BE146" s="4"/>
      <c r="BF146" s="1"/>
    </row>
    <row r="147" spans="2:58" x14ac:dyDescent="0.2">
      <c r="B147" s="4"/>
      <c r="C147" s="4"/>
      <c r="AK147" s="5"/>
      <c r="AL147" s="5"/>
      <c r="AZ147" s="4"/>
      <c r="BA147" s="4"/>
      <c r="BE147" s="4"/>
      <c r="BF147" s="1"/>
    </row>
    <row r="148" spans="2:58" x14ac:dyDescent="0.2">
      <c r="B148" s="4"/>
      <c r="C148" s="4"/>
      <c r="AK148" s="5"/>
      <c r="AL148" s="5"/>
      <c r="AZ148" s="4"/>
      <c r="BA148" s="4"/>
      <c r="BE148" s="4"/>
      <c r="BF148" s="1"/>
    </row>
    <row r="149" spans="2:58" x14ac:dyDescent="0.2">
      <c r="B149" s="4"/>
      <c r="C149" s="4"/>
      <c r="AK149" s="5"/>
      <c r="AL149" s="5"/>
      <c r="AZ149" s="4"/>
      <c r="BA149" s="4"/>
      <c r="BE149" s="4"/>
      <c r="BF149" s="1"/>
    </row>
    <row r="150" spans="2:58" x14ac:dyDescent="0.2">
      <c r="B150" s="4"/>
      <c r="C150" s="4"/>
      <c r="AK150" s="5"/>
      <c r="AL150" s="5"/>
      <c r="AZ150" s="4"/>
      <c r="BA150" s="4"/>
      <c r="BE150" s="4"/>
      <c r="BF150" s="1"/>
    </row>
    <row r="151" spans="2:58" x14ac:dyDescent="0.2">
      <c r="B151" s="4"/>
      <c r="C151" s="4"/>
      <c r="AK151" s="5"/>
      <c r="AL151" s="5"/>
      <c r="AZ151" s="4"/>
      <c r="BA151" s="4"/>
      <c r="BE151" s="4"/>
      <c r="BF151" s="1"/>
    </row>
    <row r="152" spans="2:58" x14ac:dyDescent="0.2">
      <c r="B152" s="4"/>
      <c r="C152" s="4"/>
      <c r="AK152" s="5"/>
      <c r="AL152" s="5"/>
      <c r="AZ152" s="4"/>
      <c r="BA152" s="4"/>
      <c r="BE152" s="4"/>
      <c r="BF152" s="1"/>
    </row>
    <row r="153" spans="2:58" x14ac:dyDescent="0.2">
      <c r="B153" s="4"/>
      <c r="C153" s="4"/>
      <c r="AK153" s="5"/>
      <c r="AL153" s="5"/>
      <c r="AZ153" s="4"/>
      <c r="BA153" s="4"/>
      <c r="BE153" s="4"/>
      <c r="BF153" s="1"/>
    </row>
    <row r="154" spans="2:58" x14ac:dyDescent="0.2">
      <c r="B154" s="4"/>
      <c r="C154" s="4"/>
      <c r="AK154" s="5"/>
      <c r="AL154" s="5"/>
      <c r="AZ154" s="4"/>
      <c r="BA154" s="4"/>
      <c r="BE154" s="4"/>
      <c r="BF154" s="1"/>
    </row>
    <row r="155" spans="2:58" x14ac:dyDescent="0.2">
      <c r="B155" s="4"/>
      <c r="C155" s="4"/>
      <c r="AK155" s="5"/>
      <c r="AL155" s="5"/>
      <c r="AZ155" s="4"/>
      <c r="BA155" s="4"/>
      <c r="BE155" s="4"/>
      <c r="BF155" s="1"/>
    </row>
    <row r="156" spans="2:58" x14ac:dyDescent="0.2">
      <c r="B156" s="4"/>
      <c r="C156" s="4"/>
      <c r="AK156" s="5"/>
      <c r="AL156" s="5"/>
      <c r="AZ156" s="4"/>
      <c r="BA156" s="4"/>
      <c r="BE156" s="4"/>
      <c r="BF156" s="1"/>
    </row>
    <row r="157" spans="2:58" x14ac:dyDescent="0.2">
      <c r="B157" s="4"/>
      <c r="C157" s="4"/>
      <c r="AK157" s="5"/>
      <c r="AL157" s="5"/>
      <c r="AZ157" s="4"/>
      <c r="BA157" s="4"/>
      <c r="BE157" s="4"/>
      <c r="BF157" s="1"/>
    </row>
    <row r="158" spans="2:58" x14ac:dyDescent="0.2">
      <c r="B158" s="4"/>
      <c r="C158" s="4"/>
      <c r="AK158" s="5"/>
      <c r="AL158" s="5"/>
      <c r="AZ158" s="4"/>
      <c r="BA158" s="4"/>
      <c r="BE158" s="4"/>
      <c r="BF158" s="1"/>
    </row>
    <row r="159" spans="2:58" x14ac:dyDescent="0.2">
      <c r="B159" s="4"/>
      <c r="C159" s="4"/>
      <c r="AK159" s="5"/>
      <c r="AL159" s="5"/>
      <c r="AZ159" s="4"/>
      <c r="BA159" s="4"/>
      <c r="BE159" s="4"/>
      <c r="BF159" s="1"/>
    </row>
    <row r="160" spans="2:58" x14ac:dyDescent="0.2">
      <c r="B160" s="4"/>
      <c r="C160" s="4"/>
      <c r="AK160" s="5"/>
      <c r="AL160" s="5"/>
      <c r="AZ160" s="4"/>
      <c r="BA160" s="4"/>
      <c r="BE160" s="4"/>
      <c r="BF160" s="1"/>
    </row>
    <row r="161" spans="2:58" x14ac:dyDescent="0.2">
      <c r="B161" s="4"/>
      <c r="C161" s="4"/>
      <c r="AK161" s="5"/>
      <c r="AL161" s="5"/>
      <c r="AZ161" s="4"/>
      <c r="BA161" s="4"/>
      <c r="BE161" s="4"/>
      <c r="BF161" s="1"/>
    </row>
    <row r="162" spans="2:58" x14ac:dyDescent="0.2">
      <c r="B162" s="4"/>
      <c r="C162" s="4"/>
      <c r="AK162" s="5"/>
      <c r="AL162" s="5"/>
      <c r="AZ162" s="4"/>
      <c r="BA162" s="4"/>
      <c r="BE162" s="4"/>
      <c r="BF162" s="1"/>
    </row>
    <row r="163" spans="2:58" x14ac:dyDescent="0.2">
      <c r="B163" s="4"/>
      <c r="C163" s="4"/>
      <c r="AK163" s="5"/>
      <c r="AL163" s="5"/>
      <c r="AZ163" s="4"/>
      <c r="BA163" s="4"/>
      <c r="BE163" s="4"/>
      <c r="BF163" s="1"/>
    </row>
    <row r="164" spans="2:58" x14ac:dyDescent="0.2">
      <c r="B164" s="4"/>
      <c r="C164" s="4"/>
      <c r="AK164" s="5"/>
      <c r="AL164" s="5"/>
      <c r="AZ164" s="4"/>
      <c r="BA164" s="4"/>
      <c r="BE164" s="4"/>
      <c r="BF164" s="1"/>
    </row>
    <row r="165" spans="2:58" x14ac:dyDescent="0.2">
      <c r="B165" s="4"/>
      <c r="C165" s="4"/>
      <c r="AK165" s="5"/>
      <c r="AL165" s="5"/>
      <c r="AZ165" s="4"/>
      <c r="BA165" s="4"/>
      <c r="BE165" s="4"/>
      <c r="BF165" s="1"/>
    </row>
    <row r="166" spans="2:58" x14ac:dyDescent="0.2">
      <c r="B166" s="4"/>
      <c r="C166" s="4"/>
      <c r="AK166" s="5"/>
      <c r="AL166" s="5"/>
      <c r="AZ166" s="4"/>
      <c r="BA166" s="4"/>
      <c r="BE166" s="4"/>
      <c r="BF166" s="1"/>
    </row>
    <row r="167" spans="2:58" x14ac:dyDescent="0.2">
      <c r="B167" s="4"/>
      <c r="C167" s="4"/>
      <c r="AK167" s="5"/>
      <c r="AL167" s="5"/>
      <c r="AZ167" s="4"/>
      <c r="BA167" s="4"/>
      <c r="BE167" s="4"/>
      <c r="BF167" s="1"/>
    </row>
    <row r="168" spans="2:58" x14ac:dyDescent="0.2">
      <c r="B168" s="4"/>
      <c r="C168" s="4"/>
      <c r="AK168" s="5"/>
      <c r="AL168" s="5"/>
      <c r="AZ168" s="4"/>
      <c r="BA168" s="4"/>
      <c r="BE168" s="4"/>
      <c r="BF168" s="1"/>
    </row>
    <row r="169" spans="2:58" x14ac:dyDescent="0.2">
      <c r="B169" s="4"/>
      <c r="C169" s="4"/>
      <c r="AK169" s="5"/>
      <c r="AL169" s="5"/>
      <c r="AZ169" s="4"/>
      <c r="BA169" s="4"/>
      <c r="BE169" s="4"/>
      <c r="BF169" s="1"/>
    </row>
    <row r="170" spans="2:58" x14ac:dyDescent="0.2">
      <c r="B170" s="4"/>
      <c r="C170" s="4"/>
      <c r="AK170" s="5"/>
      <c r="AL170" s="5"/>
      <c r="AZ170" s="4"/>
      <c r="BA170" s="4"/>
      <c r="BE170" s="4"/>
      <c r="BF170" s="1"/>
    </row>
    <row r="171" spans="2:58" x14ac:dyDescent="0.2">
      <c r="B171" s="4"/>
      <c r="C171" s="4"/>
      <c r="AK171" s="5"/>
      <c r="AL171" s="5"/>
      <c r="AZ171" s="4"/>
      <c r="BA171" s="4"/>
      <c r="BE171" s="4"/>
      <c r="BF171" s="1"/>
    </row>
    <row r="172" spans="2:58" x14ac:dyDescent="0.2">
      <c r="B172" s="4"/>
      <c r="C172" s="4"/>
      <c r="AK172" s="5"/>
      <c r="AL172" s="5"/>
      <c r="AZ172" s="4"/>
      <c r="BA172" s="4"/>
      <c r="BE172" s="4"/>
      <c r="BF172" s="1"/>
    </row>
    <row r="173" spans="2:58" x14ac:dyDescent="0.2">
      <c r="B173" s="4"/>
      <c r="C173" s="4"/>
      <c r="AK173" s="5"/>
      <c r="AL173" s="5"/>
      <c r="AZ173" s="4"/>
      <c r="BA173" s="4"/>
      <c r="BE173" s="4"/>
      <c r="BF173" s="1"/>
    </row>
    <row r="174" spans="2:58" x14ac:dyDescent="0.2">
      <c r="B174" s="4"/>
      <c r="C174" s="4"/>
      <c r="AK174" s="5"/>
      <c r="AL174" s="5"/>
      <c r="AZ174" s="4"/>
      <c r="BA174" s="4"/>
      <c r="BE174" s="4"/>
      <c r="BF174" s="1"/>
    </row>
    <row r="175" spans="2:58" x14ac:dyDescent="0.2">
      <c r="B175" s="4"/>
      <c r="C175" s="4"/>
      <c r="AK175" s="5"/>
      <c r="AL175" s="5"/>
      <c r="AZ175" s="4"/>
      <c r="BA175" s="4"/>
      <c r="BE175" s="4"/>
      <c r="BF175" s="1"/>
    </row>
    <row r="176" spans="2:58" x14ac:dyDescent="0.2">
      <c r="B176" s="4"/>
      <c r="C176" s="4"/>
      <c r="AK176" s="5"/>
      <c r="AL176" s="5"/>
      <c r="AZ176" s="4"/>
      <c r="BA176" s="4"/>
      <c r="BE176" s="4"/>
      <c r="BF176" s="1"/>
    </row>
    <row r="177" spans="2:58" x14ac:dyDescent="0.2">
      <c r="B177" s="4"/>
      <c r="C177" s="4"/>
      <c r="AK177" s="5"/>
      <c r="AL177" s="5"/>
      <c r="AZ177" s="4"/>
      <c r="BA177" s="4"/>
      <c r="BE177" s="4"/>
      <c r="BF177" s="1"/>
    </row>
    <row r="178" spans="2:58" x14ac:dyDescent="0.2">
      <c r="B178" s="4"/>
      <c r="C178" s="4"/>
      <c r="AK178" s="5"/>
      <c r="AL178" s="5"/>
      <c r="AZ178" s="4"/>
      <c r="BA178" s="4"/>
      <c r="BE178" s="4"/>
      <c r="BF178" s="1"/>
    </row>
    <row r="179" spans="2:58" x14ac:dyDescent="0.2">
      <c r="B179" s="4"/>
      <c r="C179" s="4"/>
      <c r="AK179" s="5"/>
      <c r="AL179" s="5"/>
      <c r="AZ179" s="4"/>
      <c r="BA179" s="4"/>
      <c r="BE179" s="4"/>
      <c r="BF179" s="1"/>
    </row>
    <row r="180" spans="2:58" x14ac:dyDescent="0.2">
      <c r="B180" s="4"/>
      <c r="C180" s="4"/>
      <c r="AK180" s="5"/>
      <c r="AL180" s="5"/>
      <c r="AZ180" s="4"/>
      <c r="BA180" s="4"/>
      <c r="BE180" s="4"/>
      <c r="BF180" s="1"/>
    </row>
    <row r="181" spans="2:58" x14ac:dyDescent="0.2">
      <c r="B181" s="4"/>
      <c r="C181" s="4"/>
      <c r="AK181" s="5"/>
      <c r="AL181" s="5"/>
      <c r="AZ181" s="4"/>
      <c r="BA181" s="4"/>
      <c r="BE181" s="4"/>
      <c r="BF181" s="1"/>
    </row>
    <row r="182" spans="2:58" x14ac:dyDescent="0.2">
      <c r="B182" s="4"/>
      <c r="C182" s="4"/>
      <c r="AK182" s="5"/>
      <c r="AL182" s="5"/>
      <c r="AZ182" s="4"/>
      <c r="BA182" s="4"/>
      <c r="BE182" s="4"/>
      <c r="BF182" s="1"/>
    </row>
    <row r="183" spans="2:58" x14ac:dyDescent="0.2">
      <c r="B183" s="4"/>
      <c r="C183" s="4"/>
      <c r="AK183" s="5"/>
      <c r="AL183" s="5"/>
      <c r="AZ183" s="4"/>
      <c r="BA183" s="4"/>
      <c r="BE183" s="4"/>
      <c r="BF183" s="1"/>
    </row>
    <row r="184" spans="2:58" x14ac:dyDescent="0.2">
      <c r="B184" s="4"/>
      <c r="C184" s="4"/>
      <c r="AK184" s="5"/>
      <c r="AL184" s="5"/>
      <c r="AZ184" s="4"/>
      <c r="BA184" s="4"/>
      <c r="BE184" s="4"/>
      <c r="BF184" s="1"/>
    </row>
    <row r="185" spans="2:58" x14ac:dyDescent="0.2">
      <c r="B185" s="4"/>
      <c r="C185" s="4"/>
      <c r="AK185" s="5"/>
      <c r="AL185" s="5"/>
      <c r="AZ185" s="4"/>
      <c r="BA185" s="4"/>
      <c r="BE185" s="4"/>
      <c r="BF185" s="1"/>
    </row>
    <row r="186" spans="2:58" x14ac:dyDescent="0.2">
      <c r="B186" s="4"/>
      <c r="C186" s="4"/>
      <c r="AK186" s="5"/>
      <c r="AL186" s="5"/>
      <c r="AZ186" s="4"/>
      <c r="BA186" s="4"/>
      <c r="BE186" s="4"/>
      <c r="BF186" s="1"/>
    </row>
    <row r="187" spans="2:58" x14ac:dyDescent="0.2">
      <c r="B187" s="4"/>
      <c r="C187" s="4"/>
      <c r="AK187" s="5"/>
      <c r="AL187" s="5"/>
      <c r="AZ187" s="4"/>
      <c r="BA187" s="4"/>
      <c r="BE187" s="4"/>
      <c r="BF187" s="1"/>
    </row>
    <row r="188" spans="2:58" x14ac:dyDescent="0.2">
      <c r="B188" s="4"/>
      <c r="C188" s="4"/>
      <c r="AK188" s="5"/>
      <c r="AL188" s="5"/>
      <c r="AZ188" s="4"/>
      <c r="BA188" s="4"/>
      <c r="BE188" s="4"/>
      <c r="BF188" s="1"/>
    </row>
    <row r="189" spans="2:58" x14ac:dyDescent="0.2">
      <c r="B189" s="4"/>
      <c r="C189" s="4"/>
      <c r="AK189" s="5"/>
      <c r="AL189" s="5"/>
      <c r="AZ189" s="4"/>
      <c r="BA189" s="4"/>
      <c r="BE189" s="4"/>
      <c r="BF189" s="1"/>
    </row>
    <row r="190" spans="2:58" x14ac:dyDescent="0.2">
      <c r="B190" s="4"/>
      <c r="C190" s="4"/>
      <c r="AK190" s="5"/>
      <c r="AL190" s="5"/>
      <c r="AZ190" s="4"/>
      <c r="BA190" s="4"/>
      <c r="BE190" s="4"/>
      <c r="BF190" s="1"/>
    </row>
    <row r="191" spans="2:58" x14ac:dyDescent="0.2">
      <c r="B191" s="4"/>
      <c r="C191" s="4"/>
      <c r="AK191" s="5"/>
      <c r="AL191" s="5"/>
      <c r="AZ191" s="4"/>
      <c r="BA191" s="4"/>
      <c r="BE191" s="4"/>
      <c r="BF191" s="1"/>
    </row>
    <row r="192" spans="2:58" x14ac:dyDescent="0.2">
      <c r="B192" s="4"/>
      <c r="C192" s="4"/>
      <c r="AK192" s="5"/>
      <c r="AL192" s="5"/>
      <c r="AZ192" s="4"/>
      <c r="BA192" s="4"/>
      <c r="BE192" s="4"/>
      <c r="BF192" s="1"/>
    </row>
    <row r="193" spans="2:58" x14ac:dyDescent="0.2">
      <c r="B193" s="4"/>
      <c r="C193" s="4"/>
      <c r="AK193" s="5"/>
      <c r="AL193" s="5"/>
      <c r="AZ193" s="4"/>
      <c r="BA193" s="4"/>
      <c r="BE193" s="4"/>
      <c r="BF193" s="1"/>
    </row>
    <row r="194" spans="2:58" x14ac:dyDescent="0.2">
      <c r="B194" s="4"/>
      <c r="C194" s="4"/>
      <c r="AK194" s="5"/>
      <c r="AL194" s="5"/>
      <c r="AZ194" s="4"/>
      <c r="BA194" s="4"/>
      <c r="BE194" s="4"/>
      <c r="BF194" s="1"/>
    </row>
    <row r="195" spans="2:58" x14ac:dyDescent="0.2">
      <c r="B195" s="4"/>
      <c r="C195" s="4"/>
      <c r="AK195" s="5"/>
      <c r="AL195" s="5"/>
      <c r="AZ195" s="4"/>
      <c r="BA195" s="4"/>
      <c r="BE195" s="4"/>
      <c r="BF195" s="1"/>
    </row>
    <row r="196" spans="2:58" x14ac:dyDescent="0.2">
      <c r="B196" s="4"/>
      <c r="C196" s="4"/>
      <c r="AK196" s="5"/>
      <c r="AL196" s="5"/>
      <c r="AZ196" s="4"/>
      <c r="BA196" s="4"/>
      <c r="BE196" s="4"/>
      <c r="BF196" s="1"/>
    </row>
    <row r="197" spans="2:58" x14ac:dyDescent="0.2">
      <c r="B197" s="4"/>
      <c r="C197" s="4"/>
      <c r="AK197" s="5"/>
      <c r="AL197" s="5"/>
      <c r="AZ197" s="4"/>
      <c r="BA197" s="4"/>
      <c r="BE197" s="4"/>
      <c r="BF197" s="1"/>
    </row>
    <row r="198" spans="2:58" x14ac:dyDescent="0.2">
      <c r="B198" s="4"/>
      <c r="C198" s="4"/>
      <c r="AK198" s="5"/>
      <c r="AL198" s="5"/>
      <c r="AZ198" s="4"/>
      <c r="BA198" s="4"/>
      <c r="BE198" s="4"/>
      <c r="BF198" s="1"/>
    </row>
    <row r="199" spans="2:58" x14ac:dyDescent="0.2">
      <c r="B199" s="4"/>
      <c r="C199" s="4"/>
      <c r="AK199" s="5"/>
      <c r="AL199" s="5"/>
      <c r="AZ199" s="4"/>
      <c r="BA199" s="4"/>
      <c r="BE199" s="4"/>
      <c r="BF199" s="1"/>
    </row>
    <row r="200" spans="2:58" x14ac:dyDescent="0.2">
      <c r="B200" s="4"/>
      <c r="C200" s="4"/>
      <c r="AK200" s="5"/>
      <c r="AL200" s="5"/>
      <c r="AZ200" s="4"/>
      <c r="BA200" s="4"/>
      <c r="BE200" s="4"/>
      <c r="BF200" s="1"/>
    </row>
    <row r="201" spans="2:58" x14ac:dyDescent="0.2">
      <c r="B201" s="4"/>
      <c r="C201" s="4"/>
      <c r="AK201" s="5"/>
      <c r="AL201" s="5"/>
      <c r="AZ201" s="4"/>
      <c r="BA201" s="4"/>
      <c r="BE201" s="4"/>
      <c r="BF201" s="1"/>
    </row>
    <row r="202" spans="2:58" x14ac:dyDescent="0.2">
      <c r="B202" s="4"/>
      <c r="C202" s="4"/>
      <c r="AK202" s="5"/>
      <c r="AL202" s="5"/>
      <c r="AZ202" s="4"/>
      <c r="BA202" s="4"/>
      <c r="BE202" s="4"/>
      <c r="BF202" s="1"/>
    </row>
    <row r="203" spans="2:58" x14ac:dyDescent="0.2">
      <c r="B203" s="4"/>
      <c r="C203" s="4"/>
      <c r="AK203" s="5"/>
      <c r="AL203" s="5"/>
      <c r="AZ203" s="4"/>
      <c r="BA203" s="4"/>
      <c r="BE203" s="4"/>
      <c r="BF203" s="1"/>
    </row>
    <row r="204" spans="2:58" x14ac:dyDescent="0.2">
      <c r="B204" s="4"/>
      <c r="C204" s="4"/>
      <c r="AK204" s="5"/>
      <c r="AL204" s="5"/>
      <c r="AZ204" s="4"/>
      <c r="BA204" s="4"/>
      <c r="BE204" s="4"/>
      <c r="BF204" s="1"/>
    </row>
    <row r="205" spans="2:58" x14ac:dyDescent="0.2">
      <c r="B205" s="4"/>
      <c r="C205" s="4"/>
      <c r="AK205" s="5"/>
      <c r="AL205" s="5"/>
      <c r="AZ205" s="4"/>
      <c r="BA205" s="4"/>
      <c r="BE205" s="4"/>
      <c r="BF205" s="1"/>
    </row>
    <row r="206" spans="2:58" x14ac:dyDescent="0.2">
      <c r="B206" s="4"/>
      <c r="C206" s="4"/>
      <c r="AK206" s="5"/>
      <c r="AL206" s="5"/>
      <c r="AZ206" s="4"/>
      <c r="BA206" s="4"/>
      <c r="BE206" s="4"/>
      <c r="BF206" s="1"/>
    </row>
    <row r="207" spans="2:58" x14ac:dyDescent="0.2">
      <c r="B207" s="4"/>
      <c r="C207" s="4"/>
      <c r="AK207" s="5"/>
      <c r="AL207" s="5"/>
      <c r="AZ207" s="4"/>
      <c r="BA207" s="4"/>
      <c r="BE207" s="4"/>
      <c r="BF207" s="1"/>
    </row>
    <row r="208" spans="2:58" x14ac:dyDescent="0.2">
      <c r="B208" s="4"/>
      <c r="C208" s="4"/>
      <c r="AK208" s="5"/>
      <c r="AL208" s="5"/>
      <c r="AZ208" s="4"/>
      <c r="BA208" s="4"/>
      <c r="BE208" s="4"/>
      <c r="BF208" s="1"/>
    </row>
    <row r="209" spans="2:53" x14ac:dyDescent="0.2">
      <c r="B209" s="4"/>
      <c r="C209" s="4"/>
      <c r="AZ209" s="4"/>
      <c r="BA209" s="4"/>
    </row>
    <row r="210" spans="2:53" x14ac:dyDescent="0.2">
      <c r="B210" s="4"/>
      <c r="C210" s="4"/>
      <c r="AZ210" s="4"/>
      <c r="BA210" s="4"/>
    </row>
    <row r="211" spans="2:53" x14ac:dyDescent="0.2">
      <c r="B211" s="4"/>
      <c r="C211" s="4"/>
      <c r="AZ211" s="4"/>
      <c r="BA211" s="4"/>
    </row>
    <row r="212" spans="2:53" x14ac:dyDescent="0.2">
      <c r="B212" s="4"/>
      <c r="C212" s="4"/>
      <c r="AZ212" s="4"/>
      <c r="BA212" s="4"/>
    </row>
    <row r="213" spans="2:53" x14ac:dyDescent="0.2">
      <c r="B213" s="4"/>
      <c r="C213" s="4"/>
      <c r="AZ213" s="4"/>
      <c r="BA213" s="4"/>
    </row>
    <row r="214" spans="2:53" x14ac:dyDescent="0.2">
      <c r="B214" s="4"/>
      <c r="C214" s="4"/>
      <c r="AZ214" s="4"/>
      <c r="BA214" s="4"/>
    </row>
    <row r="215" spans="2:53" x14ac:dyDescent="0.2">
      <c r="B215" s="4"/>
      <c r="C215" s="4"/>
      <c r="AZ215" s="4"/>
      <c r="BA215" s="4"/>
    </row>
    <row r="216" spans="2:53" x14ac:dyDescent="0.2">
      <c r="B216" s="4"/>
      <c r="C216" s="4"/>
      <c r="AZ216" s="4"/>
      <c r="BA216" s="4"/>
    </row>
    <row r="217" spans="2:53" x14ac:dyDescent="0.2">
      <c r="B217" s="4"/>
      <c r="C217" s="4"/>
      <c r="AZ217" s="4"/>
      <c r="BA217" s="4"/>
    </row>
    <row r="218" spans="2:53" x14ac:dyDescent="0.2">
      <c r="B218" s="4"/>
      <c r="C218" s="4"/>
    </row>
    <row r="219" spans="2:53" x14ac:dyDescent="0.2">
      <c r="B219" s="4"/>
      <c r="C219" s="4"/>
    </row>
    <row r="220" spans="2:53" x14ac:dyDescent="0.2">
      <c r="B220" s="4"/>
      <c r="C220" s="4"/>
    </row>
    <row r="221" spans="2:53" x14ac:dyDescent="0.2">
      <c r="B221" s="4"/>
      <c r="C221" s="4"/>
    </row>
    <row r="222" spans="2:53" x14ac:dyDescent="0.2">
      <c r="B222" s="4"/>
      <c r="C222" s="4"/>
    </row>
    <row r="223" spans="2:53" x14ac:dyDescent="0.2">
      <c r="B223" s="4"/>
      <c r="C223" s="4"/>
    </row>
    <row r="224" spans="2:53" x14ac:dyDescent="0.2">
      <c r="B224" s="4"/>
      <c r="C224" s="4"/>
    </row>
    <row r="225" spans="2:3" x14ac:dyDescent="0.2">
      <c r="B225" s="4"/>
      <c r="C225" s="4"/>
    </row>
    <row r="226" spans="2:3" x14ac:dyDescent="0.2">
      <c r="B226" s="4"/>
      <c r="C226" s="4"/>
    </row>
    <row r="227" spans="2:3" x14ac:dyDescent="0.2">
      <c r="B227" s="4"/>
      <c r="C227" s="4"/>
    </row>
    <row r="228" spans="2:3" x14ac:dyDescent="0.2">
      <c r="B228" s="4"/>
      <c r="C228" s="4"/>
    </row>
    <row r="229" spans="2:3" x14ac:dyDescent="0.2">
      <c r="B229" s="4"/>
      <c r="C229" s="4"/>
    </row>
    <row r="230" spans="2:3" x14ac:dyDescent="0.2">
      <c r="B230" s="4"/>
      <c r="C230" s="4"/>
    </row>
    <row r="231" spans="2:3" x14ac:dyDescent="0.2">
      <c r="B231" s="4"/>
      <c r="C231" s="4"/>
    </row>
    <row r="232" spans="2:3" x14ac:dyDescent="0.2">
      <c r="B232" s="4"/>
      <c r="C232" s="4"/>
    </row>
    <row r="233" spans="2:3" x14ac:dyDescent="0.2">
      <c r="B233" s="4"/>
      <c r="C233" s="4"/>
    </row>
    <row r="234" spans="2:3" x14ac:dyDescent="0.2">
      <c r="B234" s="4"/>
      <c r="C234" s="4"/>
    </row>
    <row r="235" spans="2:3" x14ac:dyDescent="0.2">
      <c r="B235" s="4"/>
      <c r="C235" s="4"/>
    </row>
    <row r="236" spans="2:3" x14ac:dyDescent="0.2">
      <c r="B236" s="4"/>
      <c r="C236" s="4"/>
    </row>
    <row r="237" spans="2:3" x14ac:dyDescent="0.2">
      <c r="B237" s="4"/>
      <c r="C237" s="4"/>
    </row>
    <row r="238" spans="2:3" x14ac:dyDescent="0.2">
      <c r="B238" s="4"/>
      <c r="C238" s="4"/>
    </row>
    <row r="239" spans="2:3" x14ac:dyDescent="0.2">
      <c r="B239" s="4"/>
      <c r="C239" s="4"/>
    </row>
    <row r="240" spans="2:3" x14ac:dyDescent="0.2">
      <c r="B240" s="4"/>
      <c r="C240" s="4"/>
    </row>
    <row r="241" spans="2:3" x14ac:dyDescent="0.2">
      <c r="B241" s="4"/>
      <c r="C241" s="4"/>
    </row>
    <row r="242" spans="2:3" x14ac:dyDescent="0.2">
      <c r="B242" s="4"/>
      <c r="C242" s="4"/>
    </row>
    <row r="243" spans="2:3" x14ac:dyDescent="0.2">
      <c r="B243" s="4"/>
      <c r="C243" s="4"/>
    </row>
    <row r="244" spans="2:3" x14ac:dyDescent="0.2">
      <c r="B244" s="4"/>
      <c r="C244" s="4"/>
    </row>
    <row r="245" spans="2:3" x14ac:dyDescent="0.2">
      <c r="B245" s="4"/>
      <c r="C245" s="4"/>
    </row>
    <row r="246" spans="2:3" x14ac:dyDescent="0.2">
      <c r="B246" s="4"/>
      <c r="C246" s="4"/>
    </row>
    <row r="247" spans="2:3" x14ac:dyDescent="0.2">
      <c r="B247" s="4"/>
      <c r="C247" s="4"/>
    </row>
    <row r="248" spans="2:3" x14ac:dyDescent="0.2">
      <c r="B248" s="4"/>
      <c r="C248" s="4"/>
    </row>
    <row r="249" spans="2:3" x14ac:dyDescent="0.2">
      <c r="B249" s="4"/>
      <c r="C249" s="4"/>
    </row>
    <row r="250" spans="2:3" x14ac:dyDescent="0.2">
      <c r="B250" s="4"/>
      <c r="C250" s="4"/>
    </row>
    <row r="251" spans="2:3" x14ac:dyDescent="0.2">
      <c r="B251" s="4"/>
      <c r="C251" s="4"/>
    </row>
    <row r="252" spans="2:3" x14ac:dyDescent="0.2">
      <c r="B252" s="4"/>
      <c r="C252" s="4"/>
    </row>
    <row r="253" spans="2:3" x14ac:dyDescent="0.2">
      <c r="B253" s="4"/>
      <c r="C253" s="4"/>
    </row>
  </sheetData>
  <mergeCells count="3">
    <mergeCell ref="AU7:AX7"/>
    <mergeCell ref="AQ7:AT7"/>
    <mergeCell ref="AM7:AP7"/>
  </mergeCells>
  <phoneticPr fontId="3" type="noConversion"/>
  <pageMargins left="0.39370078740157483" right="0.39370078740157483" top="0.39370078740157483" bottom="0.39370078740157483" header="0" footer="0"/>
  <pageSetup paperSize="9" scale="24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4:BU264"/>
  <sheetViews>
    <sheetView showGridLines="0" topLeftCell="D1" zoomScale="110" zoomScaleNormal="110" workbookViewId="0">
      <pane xSplit="14070" ySplit="2205" topLeftCell="BL55" activePane="topRight"/>
      <selection activeCell="O5" sqref="O5"/>
      <selection pane="topRight" activeCell="BN3" sqref="BN3"/>
      <selection pane="bottomLeft" activeCell="C64" sqref="C64"/>
      <selection pane="bottomRight" activeCell="BP9" sqref="BP9"/>
    </sheetView>
  </sheetViews>
  <sheetFormatPr defaultRowHeight="12.75" x14ac:dyDescent="0.2"/>
  <cols>
    <col min="1" max="1" width="9.140625" style="31"/>
    <col min="2" max="2" width="20.28515625" customWidth="1"/>
    <col min="3" max="3" width="30.140625" bestFit="1" customWidth="1"/>
    <col min="4" max="4" width="4.5703125" style="46" customWidth="1"/>
    <col min="17" max="17" width="4.28515625" style="46" customWidth="1"/>
    <col min="19" max="19" width="11.5703125" bestFit="1" customWidth="1"/>
    <col min="25" max="25" width="11.85546875" customWidth="1"/>
    <col min="41" max="41" width="11.85546875" customWidth="1"/>
    <col min="42" max="42" width="12.7109375" customWidth="1"/>
    <col min="44" max="44" width="12.42578125" bestFit="1" customWidth="1"/>
    <col min="45" max="45" width="9" bestFit="1" customWidth="1"/>
    <col min="46" max="46" width="12.42578125" bestFit="1" customWidth="1"/>
    <col min="47" max="49" width="12.42578125" customWidth="1"/>
    <col min="50" max="50" width="12.42578125" bestFit="1" customWidth="1"/>
    <col min="54" max="54" width="10.5703125" customWidth="1"/>
    <col min="55" max="55" width="12.42578125" bestFit="1" customWidth="1"/>
    <col min="56" max="56" width="10" bestFit="1" customWidth="1"/>
    <col min="57" max="57" width="10" customWidth="1"/>
    <col min="60" max="61" width="10.85546875" customWidth="1"/>
    <col min="63" max="63" width="10.42578125" bestFit="1" customWidth="1"/>
    <col min="64" max="64" width="12.5703125" bestFit="1" customWidth="1"/>
    <col min="73" max="73" width="12.42578125" bestFit="1" customWidth="1"/>
  </cols>
  <sheetData>
    <row r="4" spans="2:73" ht="9" customHeight="1" x14ac:dyDescent="0.2">
      <c r="BB4" s="11" t="s">
        <v>115</v>
      </c>
    </row>
    <row r="5" spans="2:73" ht="13.5" thickBot="1" x14ac:dyDescent="0.25">
      <c r="E5" s="8"/>
      <c r="F5" s="8"/>
      <c r="H5" s="33"/>
      <c r="I5" s="33"/>
      <c r="AS5" t="s">
        <v>110</v>
      </c>
      <c r="AZ5" s="11" t="s">
        <v>114</v>
      </c>
      <c r="BB5" s="32">
        <v>1</v>
      </c>
      <c r="BC5" s="32"/>
      <c r="BD5" s="32"/>
      <c r="BE5" s="32"/>
      <c r="BF5" s="32">
        <v>2</v>
      </c>
      <c r="BG5" s="32"/>
      <c r="BH5" s="32"/>
      <c r="BI5" s="32"/>
      <c r="BJ5" s="32">
        <v>3</v>
      </c>
      <c r="BK5" s="32"/>
      <c r="BL5" s="32"/>
      <c r="BM5" s="32"/>
      <c r="BO5" s="11" t="s">
        <v>124</v>
      </c>
      <c r="BP5" s="11"/>
      <c r="BR5" t="s">
        <v>126</v>
      </c>
    </row>
    <row r="6" spans="2:73" x14ac:dyDescent="0.2">
      <c r="X6" s="22" t="s">
        <v>97</v>
      </c>
      <c r="Y6" s="23" t="s">
        <v>93</v>
      </c>
      <c r="Z6" s="23" t="s">
        <v>100</v>
      </c>
      <c r="AA6" s="23" t="s">
        <v>140</v>
      </c>
      <c r="AB6" s="23" t="s">
        <v>98</v>
      </c>
      <c r="AC6" s="23" t="s">
        <v>141</v>
      </c>
      <c r="AD6" s="24" t="s">
        <v>104</v>
      </c>
      <c r="AE6" s="23" t="s">
        <v>142</v>
      </c>
      <c r="AF6" s="24" t="s">
        <v>105</v>
      </c>
      <c r="AG6" s="23" t="s">
        <v>99</v>
      </c>
      <c r="AH6" s="23" t="s">
        <v>98</v>
      </c>
      <c r="AI6" s="23" t="s">
        <v>143</v>
      </c>
      <c r="AJ6" s="24" t="s">
        <v>104</v>
      </c>
      <c r="AK6" s="23" t="s">
        <v>144</v>
      </c>
      <c r="AL6" s="24" t="s">
        <v>105</v>
      </c>
      <c r="AM6" s="23" t="s">
        <v>148</v>
      </c>
      <c r="AN6" s="23" t="s">
        <v>149</v>
      </c>
      <c r="AO6" s="23" t="s">
        <v>102</v>
      </c>
      <c r="AP6" s="25" t="s">
        <v>103</v>
      </c>
      <c r="AQ6" s="22" t="s">
        <v>101</v>
      </c>
      <c r="AR6" s="23" t="s">
        <v>107</v>
      </c>
      <c r="AS6" s="23" t="s">
        <v>108</v>
      </c>
      <c r="AT6" s="23" t="s">
        <v>109</v>
      </c>
      <c r="AU6" s="23" t="s">
        <v>161</v>
      </c>
      <c r="AV6" s="23" t="s">
        <v>160</v>
      </c>
      <c r="AW6" s="23" t="s">
        <v>169</v>
      </c>
      <c r="AX6" s="25" t="s">
        <v>111</v>
      </c>
      <c r="AY6" s="11" t="s">
        <v>113</v>
      </c>
      <c r="AZ6" s="11" t="s">
        <v>101</v>
      </c>
      <c r="BA6" s="11" t="s">
        <v>114</v>
      </c>
      <c r="BB6" s="11" t="s">
        <v>116</v>
      </c>
      <c r="BC6" s="11" t="s">
        <v>117</v>
      </c>
      <c r="BD6" s="11" t="s">
        <v>118</v>
      </c>
      <c r="BE6" s="11" t="s">
        <v>119</v>
      </c>
      <c r="BF6" s="11" t="s">
        <v>116</v>
      </c>
      <c r="BG6" s="11" t="s">
        <v>117</v>
      </c>
      <c r="BH6" s="11" t="s">
        <v>118</v>
      </c>
      <c r="BI6" s="11" t="s">
        <v>119</v>
      </c>
      <c r="BJ6" s="11" t="s">
        <v>116</v>
      </c>
      <c r="BK6" s="11" t="s">
        <v>117</v>
      </c>
      <c r="BL6" s="11" t="s">
        <v>118</v>
      </c>
      <c r="BM6" s="11" t="s">
        <v>119</v>
      </c>
      <c r="BN6" s="11" t="s">
        <v>115</v>
      </c>
      <c r="BO6" s="11" t="s">
        <v>125</v>
      </c>
      <c r="BP6" s="11" t="s">
        <v>124</v>
      </c>
      <c r="BQ6" s="11" t="s">
        <v>125</v>
      </c>
      <c r="BS6" s="11" t="s">
        <v>137</v>
      </c>
      <c r="BT6" s="11" t="s">
        <v>136</v>
      </c>
      <c r="BU6" s="11" t="s">
        <v>138</v>
      </c>
    </row>
    <row r="7" spans="2:73" x14ac:dyDescent="0.2">
      <c r="X7" s="13">
        <v>1E-3</v>
      </c>
      <c r="Y7" s="29">
        <f t="shared" ref="Y7:Y20" si="0">($C$9+273.3)*$C$10*$C$11*LN($X7)</f>
        <v>-935809751.06779706</v>
      </c>
      <c r="Z7" s="4">
        <f>LOG(-Y7)</f>
        <v>8.9711875661958427</v>
      </c>
      <c r="AA7" s="5">
        <f t="shared" ref="AA7:AA20" si="1">($C$34*$Y7)^$C$35</f>
        <v>110454.65155454876</v>
      </c>
      <c r="AB7" s="29">
        <f t="shared" ref="AB7:AB20" si="2">$C$37/((1+($C$34*$Y7)^$C$35)^$C$36)</f>
        <v>1.0461366558381134E-3</v>
      </c>
      <c r="AC7" s="5">
        <f t="shared" ref="AC7:AC20" si="3">($C$40*$Y7)^$C$41</f>
        <v>3502959.5607742891</v>
      </c>
      <c r="AD7" s="1">
        <f t="shared" ref="AD7:AD20" si="4">IF($C$33=2,($C$43/(1+($C$40*$Y7)^$C$41)^$C$42),0)</f>
        <v>0</v>
      </c>
      <c r="AE7" s="5">
        <f t="shared" ref="AE7:AE20" si="5">($C$44*$Y7)^$C$45</f>
        <v>1.4016697262092006E+16</v>
      </c>
      <c r="AF7">
        <f t="shared" ref="AF7:AF20" si="6">IF($C$33=3,($C$47/(1+($C$44*$Y7)^$C$45)^$C$46),0)</f>
        <v>1.3844444561386012E-13</v>
      </c>
      <c r="AG7" s="4">
        <f t="shared" ref="AG7:AG20" si="7">$C$39*(AD7+AB7+AF7)</f>
        <v>0.9352461704430427</v>
      </c>
      <c r="AH7" s="29">
        <f>(1+AA7)^$C$36</f>
        <v>47.794903009055211</v>
      </c>
      <c r="AI7" s="29">
        <f>-$C$37/AH7*$C$36*$C$35*AA7/(1+AA7)*$Y7</f>
        <v>488998.52215677832</v>
      </c>
      <c r="AJ7" s="29">
        <f>(1+AC7)^$C$42</f>
        <v>1871.6197692838921</v>
      </c>
      <c r="AK7" s="29">
        <f t="shared" ref="AK7:AK20" si="8">AI7-$C$43/AJ7*$C$42*$C$41*AC7/(1+AC7)*$Y7</f>
        <v>538998.50074631895</v>
      </c>
      <c r="AL7" s="29">
        <f>(1+AE7)^$C$46</f>
        <v>6139646818123.4404</v>
      </c>
      <c r="AM7" s="29">
        <f t="shared" ref="AM7:AM20" si="9">AK7-$C$47/AL7*$C$46*$C$45*AE7/(1+AE7)*$Y7</f>
        <v>538998.50123884541</v>
      </c>
      <c r="AN7" s="29">
        <f>IF($C$33=1,AI7,IF($C$33=2,AK7,AM7))</f>
        <v>538998.50123884541</v>
      </c>
      <c r="AO7" s="14">
        <f>AG7*C$23+C$22</f>
        <v>6.0523737855448102E-2</v>
      </c>
      <c r="AP7" s="15">
        <f t="shared" ref="AP7:AP20" si="10">C$21+AG7*1995/C$20</f>
        <v>1006.9104300371624</v>
      </c>
      <c r="AQ7" s="26">
        <f t="shared" ref="AQ7:AQ20" si="11">1-AG7/C$39</f>
        <v>0.99895386334402347</v>
      </c>
      <c r="AR7" s="1">
        <f t="shared" ref="AR7:AR20" si="12">C$27*AQ7/(C$10*(C$9+275.15)*C$28*((C$29*AQ7^2)+C$30))</f>
        <v>3.4209263336713709E-11</v>
      </c>
      <c r="AS7" s="1">
        <f t="shared" ref="AS7:AS20" si="13">C$27*((C$9+273.15)/C$28)^C$29/(C$10*(C$9+273.15))/C$30</f>
        <v>2.2861438328068813E-8</v>
      </c>
      <c r="AT7">
        <f t="shared" ref="AT7:AT20" si="14">C$27*((C$9+273.15)/C$28)^C$29/(C$10*(C$9+273.15))*(C$30+C$31*EXP(C$32)*X7)</f>
        <v>9.1445753312275263E-10</v>
      </c>
      <c r="AU7">
        <f>C$27</f>
        <v>2.6100000000000001E-5</v>
      </c>
      <c r="AV7" s="29">
        <f>IF(Y7&lt;C$30,C$27/C$30+C$28*EXP(C$29/C$30),IF(Y7&gt;C$31,C$27/C$31+C$28*EXP(C$29/C$31),C$27/Y7+C$28*EXP(C$29/Y7)))</f>
        <v>305.7497706856077</v>
      </c>
      <c r="AW7" s="29">
        <f>C$27*(X7)+C$28</f>
        <v>5.6000000261</v>
      </c>
      <c r="AX7" s="27">
        <f>IF(C$26=1,AR7,IF(C$26=2,AS7,IF(C$26=3,AT7,IF(C$26=4,AU7,IF(C$26=5,AV7,AW7)))))</f>
        <v>3.4209263336713709E-11</v>
      </c>
      <c r="AY7">
        <f t="shared" ref="AY7:AY20" si="15">C$49</f>
        <v>0</v>
      </c>
      <c r="AZ7" s="5">
        <f t="shared" ref="AZ7:AZ20" si="16">AG7+C$49</f>
        <v>0.9352461704430427</v>
      </c>
      <c r="BA7" s="5">
        <f t="shared" ref="BA7:BA20" si="17">(C$50+0.0704*AZ7-0.0001742*AZ7*AZ7-0.0000027953*AZ7*AZ7*AZ7-0.00000011566*AZ7*AZ7*AZ7*AZ7+0.0000000025969*AZ7*AZ7*AZ7*AZ7*AZ7)*0.4342944819</f>
        <v>2.8527322220222334E-2</v>
      </c>
      <c r="BB7" s="29" t="e">
        <f t="shared" ref="BB7:BB19" si="18">(-C$51*Y7)^C$52</f>
        <v>#NUM!</v>
      </c>
      <c r="BC7" s="29" t="e">
        <f t="shared" ref="BC7:BC19" si="19">C$54*(1+BB7)^(-C$53)</f>
        <v>#NUM!</v>
      </c>
      <c r="BD7" s="29" t="e">
        <f t="shared" ref="BD7:BD19" si="20">C$54*C$51*(1-(BB7/(1+BB7))^C$53)</f>
        <v>#NUM!</v>
      </c>
      <c r="BE7" s="29">
        <f>C$54*C$51</f>
        <v>0</v>
      </c>
      <c r="BF7" s="5" t="e">
        <f t="shared" ref="BF7:BF19" si="21">(-C$55*Y7)^C$56</f>
        <v>#NUM!</v>
      </c>
      <c r="BG7" s="29" t="e">
        <f t="shared" ref="BG7:BG19" si="22">BC7+C$58*(1+BF7)^(-C$57)</f>
        <v>#NUM!</v>
      </c>
      <c r="BH7" s="29" t="e">
        <f t="shared" ref="BH7:BH19" si="23">BD7+C$58*C$55*(1-(BF7/(1+BF7))^C$57)</f>
        <v>#NUM!</v>
      </c>
      <c r="BI7" s="29">
        <f t="shared" ref="BI7:BI19" si="24">BE7+C$58*C$55</f>
        <v>0</v>
      </c>
      <c r="BJ7" s="30" t="e">
        <f t="shared" ref="BJ7:BJ19" si="25">(-C$59*Y7)^C$60</f>
        <v>#NUM!</v>
      </c>
      <c r="BK7" s="29" t="e">
        <f t="shared" ref="BK7:BK19" si="26">BG7+C$62*(1+BJ7)^(-C$61)</f>
        <v>#NUM!</v>
      </c>
      <c r="BL7" s="29" t="e">
        <f t="shared" ref="BL7:BL19" si="27">BH7+C$62*C$59*(1-(BJ7/(1+BJ7))^C$61)</f>
        <v>#NUM!</v>
      </c>
      <c r="BM7" s="29">
        <f t="shared" ref="BM7:BM19" si="28">BI7+C$62*C$59</f>
        <v>0</v>
      </c>
      <c r="BN7" s="5" t="e">
        <f t="shared" ref="BN7:BN19" si="29">LOG((C$49*(BK7^C$50)*((BL7/BM7)^2)),10)</f>
        <v>#NUM!</v>
      </c>
      <c r="BO7" s="4">
        <f t="shared" ref="BO7:BO38" si="30">B64</f>
        <v>2.1</v>
      </c>
      <c r="BP7" s="4">
        <f t="shared" ref="BP7:BP38" si="31">C64</f>
        <v>-8.35</v>
      </c>
      <c r="BQ7">
        <f t="shared" ref="BQ7:BQ38" si="32">IF(C$48=4,BO7,Z7)</f>
        <v>2.1</v>
      </c>
      <c r="BR7">
        <f t="shared" ref="BR7:BR38" si="33">IF(C$48=1,AY7,IF(C$48=2,BA7,IF(C$48=3,BN7,BP7)))</f>
        <v>-8.35</v>
      </c>
      <c r="BS7">
        <f>10^BR7</f>
        <v>4.4668359215096219E-9</v>
      </c>
      <c r="BT7" s="4">
        <f t="shared" ref="BT7:BT38" si="34">IF(C$48=4,EXP(-(10^BQ7)/(($C$9+273.3)*$C$10*$C$11)),X7)</f>
        <v>0.99999907071446859</v>
      </c>
      <c r="BU7" s="1">
        <f t="shared" ref="BU7:BU19" si="35">LOG(AX7,10)</f>
        <v>-10.465856277824434</v>
      </c>
    </row>
    <row r="8" spans="2:73" ht="16.5" thickBot="1" x14ac:dyDescent="0.3">
      <c r="E8" s="57" t="str">
        <f>C18</f>
        <v>'calcium silicate'</v>
      </c>
      <c r="K8" s="11" t="s">
        <v>134</v>
      </c>
      <c r="X8" s="13">
        <v>0.1</v>
      </c>
      <c r="Y8" s="29">
        <f t="shared" si="0"/>
        <v>-311936583.68926567</v>
      </c>
      <c r="Z8" s="4">
        <f t="shared" ref="Z8:Z20" si="36">LOG(-Y8)</f>
        <v>8.4940663114761801</v>
      </c>
      <c r="AA8" s="5">
        <f t="shared" si="1"/>
        <v>21257.007602755013</v>
      </c>
      <c r="AB8" s="29">
        <f t="shared" si="2"/>
        <v>1.8109438820704269E-3</v>
      </c>
      <c r="AC8" s="5">
        <f t="shared" si="3"/>
        <v>389217.72897492093</v>
      </c>
      <c r="AD8" s="1">
        <f t="shared" si="4"/>
        <v>0</v>
      </c>
      <c r="AE8" s="5">
        <f t="shared" si="5"/>
        <v>71856104735029.828</v>
      </c>
      <c r="AF8">
        <f t="shared" si="6"/>
        <v>9.0177812988161223E-12</v>
      </c>
      <c r="AG8" s="4">
        <f t="shared" si="7"/>
        <v>1.6189838386328581</v>
      </c>
      <c r="AH8" s="29">
        <f>(1+AA8)^$C$36</f>
        <v>27.609911325819606</v>
      </c>
      <c r="AI8" s="29">
        <f t="shared" ref="AI8:AI20" si="37">-$C$37/AH8*$C$36*$C$35*AA8/(1+AA8)*$Y8</f>
        <v>282154.10062625399</v>
      </c>
      <c r="AJ8" s="29">
        <f>(1+AC8)^$C$42</f>
        <v>623.87396882296741</v>
      </c>
      <c r="AK8" s="29">
        <f t="shared" si="8"/>
        <v>332153.90793267003</v>
      </c>
      <c r="AL8" s="29">
        <f>(1+AE8)^$C$46</f>
        <v>94258218494.563644</v>
      </c>
      <c r="AM8" s="29">
        <f t="shared" si="9"/>
        <v>332153.91862647916</v>
      </c>
      <c r="AN8" s="29">
        <f t="shared" ref="AN8:AN20" si="38">IF($C$33=1,AI8,IF($C$33=2,AK8,AM8))</f>
        <v>332153.91862647916</v>
      </c>
      <c r="AO8" s="14">
        <f t="shared" ref="AO8:AO20" si="39">AG8*C$23+C$22</f>
        <v>6.0906630949634395E-2</v>
      </c>
      <c r="AP8" s="15">
        <f t="shared" si="10"/>
        <v>1011.9624916965651</v>
      </c>
      <c r="AQ8" s="26">
        <f t="shared" si="11"/>
        <v>0.99818905610891184</v>
      </c>
      <c r="AR8" s="1">
        <f t="shared" si="12"/>
        <v>3.4224963497821289E-11</v>
      </c>
      <c r="AS8" s="1">
        <f t="shared" si="13"/>
        <v>2.2861438328068813E-8</v>
      </c>
      <c r="AT8">
        <f t="shared" si="14"/>
        <v>9.1445753312275263E-10</v>
      </c>
      <c r="AU8">
        <f t="shared" ref="AU8:AU20" si="40">C$27</f>
        <v>2.6100000000000001E-5</v>
      </c>
      <c r="AV8" s="29">
        <f>IF(Y8&lt;C$30,C$27/C$30+C$28*EXP(C$29/C$30),IF(Y8&gt;C$31,C$27/C$31+C$28*EXP(C$29/C$31),C$27/Y8+C$28*EXP(C$29/Y8)))</f>
        <v>305.7497706856077</v>
      </c>
      <c r="AW8" s="29">
        <f t="shared" ref="AW8:AW20" si="41">C$27*(X8)+C$28</f>
        <v>5.6000026099999998</v>
      </c>
      <c r="AX8" s="27">
        <f t="shared" ref="AX8:AX20" si="42">IF(C$26=1,AR8,IF(C$26=2,AS8,IF(C$26=3,AT8,IF(C$26=4,AU8,IF(C$26=5,AV8,AW8)))))</f>
        <v>3.4224963497821289E-11</v>
      </c>
      <c r="AY8">
        <f t="shared" si="15"/>
        <v>0</v>
      </c>
      <c r="AZ8" s="5">
        <f t="shared" si="16"/>
        <v>1.6189838386328581</v>
      </c>
      <c r="BA8" s="5">
        <f t="shared" si="17"/>
        <v>4.9295566875472548E-2</v>
      </c>
      <c r="BB8" s="29" t="e">
        <f t="shared" si="18"/>
        <v>#NUM!</v>
      </c>
      <c r="BC8" s="29" t="e">
        <f t="shared" si="19"/>
        <v>#NUM!</v>
      </c>
      <c r="BD8" s="29" t="e">
        <f t="shared" si="20"/>
        <v>#NUM!</v>
      </c>
      <c r="BE8" s="29">
        <f t="shared" ref="BE8:BE19" si="43">C$54*C$51</f>
        <v>0</v>
      </c>
      <c r="BF8" s="5" t="e">
        <f t="shared" si="21"/>
        <v>#NUM!</v>
      </c>
      <c r="BG8" s="29" t="e">
        <f t="shared" si="22"/>
        <v>#NUM!</v>
      </c>
      <c r="BH8" s="29" t="e">
        <f t="shared" si="23"/>
        <v>#NUM!</v>
      </c>
      <c r="BI8" s="29">
        <f t="shared" si="24"/>
        <v>0</v>
      </c>
      <c r="BJ8" s="30" t="e">
        <f t="shared" si="25"/>
        <v>#NUM!</v>
      </c>
      <c r="BK8" s="29" t="e">
        <f t="shared" si="26"/>
        <v>#NUM!</v>
      </c>
      <c r="BL8" s="29" t="e">
        <f t="shared" si="27"/>
        <v>#NUM!</v>
      </c>
      <c r="BM8" s="29">
        <f t="shared" si="28"/>
        <v>0</v>
      </c>
      <c r="BN8" s="5" t="e">
        <f t="shared" si="29"/>
        <v>#NUM!</v>
      </c>
      <c r="BO8" s="4">
        <f t="shared" si="30"/>
        <v>4</v>
      </c>
      <c r="BP8" s="4">
        <f t="shared" si="31"/>
        <v>-8.35</v>
      </c>
      <c r="BQ8">
        <f t="shared" si="32"/>
        <v>4</v>
      </c>
      <c r="BR8">
        <f t="shared" si="33"/>
        <v>-8.35</v>
      </c>
      <c r="BS8">
        <f t="shared" ref="BS8:BS71" si="44">10^BR8</f>
        <v>4.4668359215096219E-9</v>
      </c>
      <c r="BT8" s="4">
        <f t="shared" si="34"/>
        <v>0.99992618691644741</v>
      </c>
      <c r="BU8" s="1">
        <f t="shared" si="35"/>
        <v>-10.465657006384717</v>
      </c>
    </row>
    <row r="9" spans="2:73" x14ac:dyDescent="0.2">
      <c r="B9" s="3" t="s">
        <v>94</v>
      </c>
      <c r="C9" s="2">
        <v>20</v>
      </c>
      <c r="E9" s="73" t="str">
        <f t="shared" ref="E9:E14" si="45">B20</f>
        <v>bulk density</v>
      </c>
      <c r="F9" s="73"/>
      <c r="G9" s="73"/>
      <c r="H9" s="73"/>
      <c r="I9" s="54">
        <f t="shared" ref="I9:I14" si="46">C20</f>
        <v>270</v>
      </c>
      <c r="K9" s="51" t="s">
        <v>50</v>
      </c>
      <c r="L9" s="51"/>
      <c r="M9" s="51"/>
      <c r="N9" s="51"/>
      <c r="O9" s="51"/>
      <c r="P9" s="52">
        <f>C26</f>
        <v>1</v>
      </c>
      <c r="X9" s="13">
        <v>0.2</v>
      </c>
      <c r="Y9" s="29">
        <f t="shared" si="0"/>
        <v>-218034315.25384891</v>
      </c>
      <c r="Z9" s="4">
        <f t="shared" si="36"/>
        <v>8.3385248502678362</v>
      </c>
      <c r="AA9" s="5">
        <f t="shared" si="1"/>
        <v>12421.95455458662</v>
      </c>
      <c r="AB9" s="29">
        <f t="shared" si="2"/>
        <v>2.1656741553874848E-3</v>
      </c>
      <c r="AC9" s="5">
        <f t="shared" si="3"/>
        <v>190155.85051285903</v>
      </c>
      <c r="AD9" s="1">
        <f t="shared" si="4"/>
        <v>0</v>
      </c>
      <c r="AE9" s="5">
        <f t="shared" si="5"/>
        <v>12878481455303.822</v>
      </c>
      <c r="AF9">
        <f t="shared" si="6"/>
        <v>3.5188934546051212E-11</v>
      </c>
      <c r="AG9" s="4">
        <f t="shared" si="7"/>
        <v>1.9361127263753191</v>
      </c>
      <c r="AH9" s="29">
        <f t="shared" ref="AH9:AH18" si="47">(1+AA9)^$C$36</f>
        <v>23.087499047636715</v>
      </c>
      <c r="AI9" s="29">
        <f t="shared" si="37"/>
        <v>235840.55934059602</v>
      </c>
      <c r="AJ9" s="29">
        <f t="shared" ref="AJ9:AJ18" si="48">(1+AC9)^$C$42</f>
        <v>436.06977711469415</v>
      </c>
      <c r="AK9" s="29">
        <f t="shared" si="8"/>
        <v>285840.1649298704</v>
      </c>
      <c r="AL9" s="29">
        <f t="shared" ref="AL9:AL18" si="49">(1+AE9)^$C$46</f>
        <v>24155320726.963707</v>
      </c>
      <c r="AM9" s="29">
        <f t="shared" si="9"/>
        <v>285840.1940972482</v>
      </c>
      <c r="AN9" s="29">
        <f t="shared" si="38"/>
        <v>285840.1940972482</v>
      </c>
      <c r="AO9" s="14">
        <f t="shared" si="39"/>
        <v>6.1084223126770178E-2</v>
      </c>
      <c r="AP9" s="15">
        <f t="shared" si="10"/>
        <v>1014.3057218115509</v>
      </c>
      <c r="AQ9" s="26">
        <f t="shared" si="11"/>
        <v>0.99783432580942355</v>
      </c>
      <c r="AR9" s="1">
        <f t="shared" si="12"/>
        <v>3.4232247650282855E-11</v>
      </c>
      <c r="AS9" s="1">
        <f t="shared" si="13"/>
        <v>2.2861438328068813E-8</v>
      </c>
      <c r="AT9">
        <f t="shared" si="14"/>
        <v>9.1445753312275263E-10</v>
      </c>
      <c r="AU9">
        <f t="shared" si="40"/>
        <v>2.6100000000000001E-5</v>
      </c>
      <c r="AV9" s="29">
        <f t="shared" ref="AV9:AV20" si="50">IF(Y9&lt;C$30,C$27/C$30+C$28*EXP(C$29/C$30),IF(Y9&gt;C$31,C$27/C$31+C$28*EXP(C$29/C$31),C$27/Y9+C$28*EXP(C$29/Y9)))</f>
        <v>305.7497706856077</v>
      </c>
      <c r="AW9" s="29">
        <f t="shared" si="41"/>
        <v>5.6000052199999999</v>
      </c>
      <c r="AX9" s="27">
        <f t="shared" si="42"/>
        <v>3.4232247650282855E-11</v>
      </c>
      <c r="AY9">
        <f t="shared" si="15"/>
        <v>0</v>
      </c>
      <c r="AZ9" s="5">
        <f t="shared" si="16"/>
        <v>1.9361127263753191</v>
      </c>
      <c r="BA9" s="5">
        <f t="shared" si="17"/>
        <v>5.8902274806166867E-2</v>
      </c>
      <c r="BB9" s="29" t="e">
        <f t="shared" si="18"/>
        <v>#NUM!</v>
      </c>
      <c r="BC9" s="29" t="e">
        <f t="shared" si="19"/>
        <v>#NUM!</v>
      </c>
      <c r="BD9" s="29" t="e">
        <f t="shared" si="20"/>
        <v>#NUM!</v>
      </c>
      <c r="BE9" s="29">
        <f t="shared" si="43"/>
        <v>0</v>
      </c>
      <c r="BF9" s="5" t="e">
        <f t="shared" si="21"/>
        <v>#NUM!</v>
      </c>
      <c r="BG9" s="29" t="e">
        <f t="shared" si="22"/>
        <v>#NUM!</v>
      </c>
      <c r="BH9" s="29" t="e">
        <f t="shared" si="23"/>
        <v>#NUM!</v>
      </c>
      <c r="BI9" s="29">
        <f t="shared" si="24"/>
        <v>0</v>
      </c>
      <c r="BJ9" s="30" t="e">
        <f t="shared" si="25"/>
        <v>#NUM!</v>
      </c>
      <c r="BK9" s="29" t="e">
        <f t="shared" si="26"/>
        <v>#NUM!</v>
      </c>
      <c r="BL9" s="29" t="e">
        <f t="shared" si="27"/>
        <v>#NUM!</v>
      </c>
      <c r="BM9" s="29">
        <f t="shared" si="28"/>
        <v>0</v>
      </c>
      <c r="BN9" s="5" t="e">
        <f t="shared" si="29"/>
        <v>#NUM!</v>
      </c>
      <c r="BO9" s="4">
        <f t="shared" si="30"/>
        <v>5</v>
      </c>
      <c r="BP9" s="4">
        <f t="shared" si="31"/>
        <v>-8.36</v>
      </c>
      <c r="BQ9">
        <f t="shared" si="32"/>
        <v>5</v>
      </c>
      <c r="BR9">
        <f t="shared" si="33"/>
        <v>-8.36</v>
      </c>
      <c r="BS9">
        <f t="shared" si="44"/>
        <v>4.3651583224016521E-9</v>
      </c>
      <c r="BT9" s="4">
        <f t="shared" si="34"/>
        <v>0.99926211429292999</v>
      </c>
      <c r="BU9" s="1">
        <f t="shared" si="35"/>
        <v>-10.465564584646282</v>
      </c>
    </row>
    <row r="10" spans="2:73" ht="13.5" thickBot="1" x14ac:dyDescent="0.25">
      <c r="B10" s="3" t="s">
        <v>95</v>
      </c>
      <c r="C10" s="3">
        <v>461.89</v>
      </c>
      <c r="E10" s="71" t="str">
        <f t="shared" si="45"/>
        <v>thermal capacity</v>
      </c>
      <c r="F10" s="71"/>
      <c r="G10" s="71"/>
      <c r="H10" s="71"/>
      <c r="I10" s="50">
        <f t="shared" si="46"/>
        <v>1000</v>
      </c>
      <c r="K10" s="56" t="s">
        <v>135</v>
      </c>
      <c r="L10" s="56"/>
      <c r="M10" s="56"/>
      <c r="N10" s="56"/>
      <c r="O10" s="56"/>
      <c r="P10" s="53">
        <f>C48</f>
        <v>4</v>
      </c>
      <c r="X10" s="13">
        <v>0.3</v>
      </c>
      <c r="Y10" s="29">
        <f t="shared" si="0"/>
        <v>-163105009.48647827</v>
      </c>
      <c r="Z10" s="4">
        <f t="shared" si="36"/>
        <v>8.2124672998442279</v>
      </c>
      <c r="AA10" s="5">
        <f t="shared" si="1"/>
        <v>8037.1784373720038</v>
      </c>
      <c r="AB10" s="29">
        <f t="shared" si="2"/>
        <v>2.503528324514647E-3</v>
      </c>
      <c r="AC10" s="5">
        <f t="shared" si="3"/>
        <v>106412.97647833664</v>
      </c>
      <c r="AD10" s="1">
        <f t="shared" si="4"/>
        <v>0</v>
      </c>
      <c r="AE10" s="5">
        <f t="shared" si="5"/>
        <v>3197337010923.3081</v>
      </c>
      <c r="AF10">
        <f t="shared" si="6"/>
        <v>1.0607828777677252E-10</v>
      </c>
      <c r="AG10" s="4">
        <f t="shared" si="7"/>
        <v>2.2381544169500835</v>
      </c>
      <c r="AH10" s="29">
        <f t="shared" si="47"/>
        <v>19.971813184775282</v>
      </c>
      <c r="AI10" s="29">
        <f t="shared" si="37"/>
        <v>203939.46204457627</v>
      </c>
      <c r="AJ10" s="29">
        <f t="shared" si="48"/>
        <v>326.21155172424022</v>
      </c>
      <c r="AK10" s="29">
        <f t="shared" si="8"/>
        <v>253938.75725159433</v>
      </c>
      <c r="AL10" s="29">
        <f t="shared" si="49"/>
        <v>8012949848.7825384</v>
      </c>
      <c r="AM10" s="29">
        <f t="shared" si="9"/>
        <v>253938.82302649788</v>
      </c>
      <c r="AN10" s="29">
        <f t="shared" si="38"/>
        <v>253938.82302649788</v>
      </c>
      <c r="AO10" s="14">
        <f t="shared" si="39"/>
        <v>6.1253366473492048E-2</v>
      </c>
      <c r="AP10" s="15">
        <f t="shared" si="10"/>
        <v>1016.5374743030201</v>
      </c>
      <c r="AQ10" s="26">
        <f t="shared" si="11"/>
        <v>0.99749647156940702</v>
      </c>
      <c r="AR10" s="1">
        <f t="shared" si="12"/>
        <v>3.4239186532235851E-11</v>
      </c>
      <c r="AS10" s="1">
        <f t="shared" si="13"/>
        <v>2.2861438328068813E-8</v>
      </c>
      <c r="AT10">
        <f t="shared" si="14"/>
        <v>9.1445753312275263E-10</v>
      </c>
      <c r="AU10">
        <f t="shared" si="40"/>
        <v>2.6100000000000001E-5</v>
      </c>
      <c r="AV10" s="29">
        <f t="shared" si="50"/>
        <v>305.7497706856077</v>
      </c>
      <c r="AW10" s="29">
        <f t="shared" si="41"/>
        <v>5.60000783</v>
      </c>
      <c r="AX10" s="27">
        <f t="shared" si="42"/>
        <v>3.4239186532235851E-11</v>
      </c>
      <c r="AY10">
        <f t="shared" si="15"/>
        <v>0</v>
      </c>
      <c r="AZ10" s="5">
        <f t="shared" si="16"/>
        <v>2.2381544169500835</v>
      </c>
      <c r="BA10" s="5">
        <f t="shared" si="17"/>
        <v>6.8036290520320064E-2</v>
      </c>
      <c r="BB10" s="29" t="e">
        <f t="shared" si="18"/>
        <v>#NUM!</v>
      </c>
      <c r="BC10" s="29" t="e">
        <f t="shared" si="19"/>
        <v>#NUM!</v>
      </c>
      <c r="BD10" s="29" t="e">
        <f t="shared" si="20"/>
        <v>#NUM!</v>
      </c>
      <c r="BE10" s="29">
        <f t="shared" si="43"/>
        <v>0</v>
      </c>
      <c r="BF10" s="5" t="e">
        <f t="shared" si="21"/>
        <v>#NUM!</v>
      </c>
      <c r="BG10" s="29" t="e">
        <f t="shared" si="22"/>
        <v>#NUM!</v>
      </c>
      <c r="BH10" s="29" t="e">
        <f t="shared" si="23"/>
        <v>#NUM!</v>
      </c>
      <c r="BI10" s="29">
        <f t="shared" si="24"/>
        <v>0</v>
      </c>
      <c r="BJ10" s="30" t="e">
        <f t="shared" si="25"/>
        <v>#NUM!</v>
      </c>
      <c r="BK10" s="29" t="e">
        <f t="shared" si="26"/>
        <v>#NUM!</v>
      </c>
      <c r="BL10" s="29" t="e">
        <f t="shared" si="27"/>
        <v>#NUM!</v>
      </c>
      <c r="BM10" s="29">
        <f t="shared" si="28"/>
        <v>0</v>
      </c>
      <c r="BN10" s="5" t="e">
        <f t="shared" si="29"/>
        <v>#NUM!</v>
      </c>
      <c r="BO10" s="4">
        <f t="shared" si="30"/>
        <v>5.4</v>
      </c>
      <c r="BP10" s="4">
        <f t="shared" si="31"/>
        <v>-8.36</v>
      </c>
      <c r="BQ10">
        <f t="shared" si="32"/>
        <v>5.4</v>
      </c>
      <c r="BR10">
        <f t="shared" si="33"/>
        <v>-8.36</v>
      </c>
      <c r="BS10">
        <f t="shared" si="44"/>
        <v>4.3651583224016521E-9</v>
      </c>
      <c r="BT10" s="4">
        <f t="shared" si="34"/>
        <v>0.99814754864764443</v>
      </c>
      <c r="BU10" s="1">
        <f t="shared" si="35"/>
        <v>-10.465476562007671</v>
      </c>
    </row>
    <row r="11" spans="2:73" x14ac:dyDescent="0.2">
      <c r="B11" s="3" t="s">
        <v>96</v>
      </c>
      <c r="C11" s="3">
        <v>1000</v>
      </c>
      <c r="E11" s="71" t="str">
        <f t="shared" si="45"/>
        <v>thermal conductivity</v>
      </c>
      <c r="F11" s="71"/>
      <c r="G11" s="71"/>
      <c r="H11" s="71"/>
      <c r="I11" s="50">
        <f t="shared" si="46"/>
        <v>0.06</v>
      </c>
      <c r="X11" s="13">
        <v>0.4</v>
      </c>
      <c r="Y11" s="29">
        <f t="shared" si="0"/>
        <v>-124132046.81843217</v>
      </c>
      <c r="Z11" s="4">
        <f t="shared" si="36"/>
        <v>8.0938839165486822</v>
      </c>
      <c r="AA11" s="5">
        <f t="shared" si="1"/>
        <v>5336.1562210420652</v>
      </c>
      <c r="AB11" s="29">
        <f t="shared" si="2"/>
        <v>2.8692989714081255E-3</v>
      </c>
      <c r="AC11" s="5">
        <f t="shared" si="3"/>
        <v>61635.06018933373</v>
      </c>
      <c r="AD11" s="1">
        <f t="shared" si="4"/>
        <v>0</v>
      </c>
      <c r="AE11" s="5">
        <f t="shared" si="5"/>
        <v>862160605943.84192</v>
      </c>
      <c r="AF11">
        <f t="shared" si="6"/>
        <v>2.9952500980166577E-10</v>
      </c>
      <c r="AG11" s="4">
        <f t="shared" si="7"/>
        <v>2.5651535482142229</v>
      </c>
      <c r="AH11" s="29">
        <f t="shared" si="47"/>
        <v>17.425859242357795</v>
      </c>
      <c r="AI11" s="29">
        <f t="shared" si="37"/>
        <v>177874.55731414683</v>
      </c>
      <c r="AJ11" s="29">
        <f t="shared" si="48"/>
        <v>248.2661076130484</v>
      </c>
      <c r="AK11" s="29">
        <f t="shared" si="8"/>
        <v>227873.34049893243</v>
      </c>
      <c r="AL11" s="29">
        <f t="shared" si="49"/>
        <v>2837826465.8528452</v>
      </c>
      <c r="AM11" s="29">
        <f t="shared" si="9"/>
        <v>227873.48184490114</v>
      </c>
      <c r="AN11" s="29">
        <f t="shared" si="38"/>
        <v>227873.48184490114</v>
      </c>
      <c r="AO11" s="14">
        <f t="shared" si="39"/>
        <v>6.143648598699996E-2</v>
      </c>
      <c r="AP11" s="15">
        <f t="shared" si="10"/>
        <v>1018.953634550694</v>
      </c>
      <c r="AQ11" s="26">
        <f t="shared" si="11"/>
        <v>0.99713070072906684</v>
      </c>
      <c r="AR11" s="1">
        <f t="shared" si="12"/>
        <v>3.4246700160715486E-11</v>
      </c>
      <c r="AS11" s="1">
        <f t="shared" si="13"/>
        <v>2.2861438328068813E-8</v>
      </c>
      <c r="AT11">
        <f t="shared" si="14"/>
        <v>9.1445753312275263E-10</v>
      </c>
      <c r="AU11">
        <f t="shared" si="40"/>
        <v>2.6100000000000001E-5</v>
      </c>
      <c r="AV11" s="29">
        <f t="shared" si="50"/>
        <v>305.7497706856077</v>
      </c>
      <c r="AW11" s="29">
        <f t="shared" si="41"/>
        <v>5.6000104399999993</v>
      </c>
      <c r="AX11" s="27">
        <f t="shared" si="42"/>
        <v>3.4246700160715486E-11</v>
      </c>
      <c r="AY11">
        <f t="shared" si="15"/>
        <v>0</v>
      </c>
      <c r="AZ11" s="5">
        <f t="shared" si="16"/>
        <v>2.5651535482142229</v>
      </c>
      <c r="BA11" s="5">
        <f t="shared" si="17"/>
        <v>7.7907510001877053E-2</v>
      </c>
      <c r="BB11" s="29" t="e">
        <f t="shared" si="18"/>
        <v>#NUM!</v>
      </c>
      <c r="BC11" s="29" t="e">
        <f t="shared" si="19"/>
        <v>#NUM!</v>
      </c>
      <c r="BD11" s="29" t="e">
        <f t="shared" si="20"/>
        <v>#NUM!</v>
      </c>
      <c r="BE11" s="29">
        <f t="shared" si="43"/>
        <v>0</v>
      </c>
      <c r="BF11" s="5" t="e">
        <f t="shared" si="21"/>
        <v>#NUM!</v>
      </c>
      <c r="BG11" s="29" t="e">
        <f t="shared" si="22"/>
        <v>#NUM!</v>
      </c>
      <c r="BH11" s="29" t="e">
        <f t="shared" si="23"/>
        <v>#NUM!</v>
      </c>
      <c r="BI11" s="29">
        <f t="shared" si="24"/>
        <v>0</v>
      </c>
      <c r="BJ11" s="30" t="e">
        <f t="shared" si="25"/>
        <v>#NUM!</v>
      </c>
      <c r="BK11" s="29" t="e">
        <f t="shared" si="26"/>
        <v>#NUM!</v>
      </c>
      <c r="BL11" s="29" t="e">
        <f t="shared" si="27"/>
        <v>#NUM!</v>
      </c>
      <c r="BM11" s="29">
        <f t="shared" si="28"/>
        <v>0</v>
      </c>
      <c r="BN11" s="5" t="e">
        <f t="shared" si="29"/>
        <v>#NUM!</v>
      </c>
      <c r="BO11" s="4">
        <f t="shared" si="30"/>
        <v>5.5</v>
      </c>
      <c r="BP11" s="4">
        <f t="shared" si="31"/>
        <v>-8.57</v>
      </c>
      <c r="BQ11">
        <f t="shared" si="32"/>
        <v>5.5</v>
      </c>
      <c r="BR11">
        <f t="shared" si="33"/>
        <v>-8.57</v>
      </c>
      <c r="BS11">
        <f t="shared" si="44"/>
        <v>2.6915348039269064E-9</v>
      </c>
      <c r="BT11" s="4">
        <f t="shared" si="34"/>
        <v>0.99766846146615495</v>
      </c>
      <c r="BU11" s="1">
        <f t="shared" si="35"/>
        <v>-10.465381268581291</v>
      </c>
    </row>
    <row r="12" spans="2:73" ht="13.5" thickBot="1" x14ac:dyDescent="0.25">
      <c r="B12" s="9" t="s">
        <v>0</v>
      </c>
      <c r="C12" s="10">
        <v>7</v>
      </c>
      <c r="D12" s="47"/>
      <c r="E12" s="71" t="str">
        <f t="shared" si="45"/>
        <v>thermal conductivity - moisture term</v>
      </c>
      <c r="F12" s="71"/>
      <c r="G12" s="71"/>
      <c r="H12" s="71"/>
      <c r="I12" s="50">
        <f t="shared" si="46"/>
        <v>5.5999999999999995E-4</v>
      </c>
      <c r="X12" s="13">
        <v>0.5</v>
      </c>
      <c r="Y12" s="29">
        <f t="shared" si="0"/>
        <v>-93902268.435416758</v>
      </c>
      <c r="Z12" s="4">
        <f t="shared" si="36"/>
        <v>7.9726760838218551</v>
      </c>
      <c r="AA12" s="5">
        <f t="shared" si="1"/>
        <v>3510.8864723131164</v>
      </c>
      <c r="AB12" s="29">
        <f t="shared" si="2"/>
        <v>3.2984129617479496E-3</v>
      </c>
      <c r="AC12" s="5">
        <f t="shared" si="3"/>
        <v>35270.544069268268</v>
      </c>
      <c r="AD12" s="1">
        <f t="shared" si="4"/>
        <v>0</v>
      </c>
      <c r="AE12" s="5">
        <f t="shared" si="5"/>
        <v>225834650583.90729</v>
      </c>
      <c r="AF12">
        <f t="shared" si="6"/>
        <v>8.6539979491765308E-10</v>
      </c>
      <c r="AG12" s="4">
        <f t="shared" si="7"/>
        <v>2.9487819614700834</v>
      </c>
      <c r="AH12" s="29">
        <f t="shared" si="47"/>
        <v>15.158805334521599</v>
      </c>
      <c r="AI12" s="29">
        <f t="shared" si="37"/>
        <v>154665.31237709962</v>
      </c>
      <c r="AJ12" s="29">
        <f t="shared" si="48"/>
        <v>187.80719919446184</v>
      </c>
      <c r="AK12" s="29">
        <f t="shared" si="8"/>
        <v>204663.18603218373</v>
      </c>
      <c r="AL12" s="29">
        <f t="shared" si="49"/>
        <v>982204993.56702709</v>
      </c>
      <c r="AM12" s="29">
        <f t="shared" si="9"/>
        <v>204663.49496161914</v>
      </c>
      <c r="AN12" s="29">
        <f t="shared" si="38"/>
        <v>204663.49496161914</v>
      </c>
      <c r="AO12" s="14">
        <f t="shared" si="39"/>
        <v>6.1651317898423243E-2</v>
      </c>
      <c r="AP12" s="15">
        <f t="shared" si="10"/>
        <v>1021.7882222708623</v>
      </c>
      <c r="AQ12" s="26">
        <f t="shared" si="11"/>
        <v>0.99670158617285221</v>
      </c>
      <c r="AR12" s="1">
        <f t="shared" si="12"/>
        <v>3.4255516832429774E-11</v>
      </c>
      <c r="AS12" s="1">
        <f t="shared" si="13"/>
        <v>2.2861438328068813E-8</v>
      </c>
      <c r="AT12">
        <f t="shared" si="14"/>
        <v>9.1445753312275263E-10</v>
      </c>
      <c r="AU12">
        <f t="shared" si="40"/>
        <v>2.6100000000000001E-5</v>
      </c>
      <c r="AV12" s="29">
        <f t="shared" si="50"/>
        <v>305.7497706856077</v>
      </c>
      <c r="AW12" s="29">
        <f t="shared" si="41"/>
        <v>5.6000130499999994</v>
      </c>
      <c r="AX12" s="27">
        <f t="shared" si="42"/>
        <v>3.4255516832429774E-11</v>
      </c>
      <c r="AY12">
        <f t="shared" si="15"/>
        <v>0</v>
      </c>
      <c r="AZ12" s="5">
        <f t="shared" si="16"/>
        <v>2.9487819614700834</v>
      </c>
      <c r="BA12" s="5">
        <f t="shared" si="17"/>
        <v>8.9464527413484887E-2</v>
      </c>
      <c r="BB12" s="29" t="e">
        <f t="shared" si="18"/>
        <v>#NUM!</v>
      </c>
      <c r="BC12" s="29" t="e">
        <f t="shared" si="19"/>
        <v>#NUM!</v>
      </c>
      <c r="BD12" s="29" t="e">
        <f t="shared" si="20"/>
        <v>#NUM!</v>
      </c>
      <c r="BE12" s="29">
        <f t="shared" si="43"/>
        <v>0</v>
      </c>
      <c r="BF12" s="5" t="e">
        <f t="shared" si="21"/>
        <v>#NUM!</v>
      </c>
      <c r="BG12" s="29" t="e">
        <f t="shared" si="22"/>
        <v>#NUM!</v>
      </c>
      <c r="BH12" s="29" t="e">
        <f t="shared" si="23"/>
        <v>#NUM!</v>
      </c>
      <c r="BI12" s="29">
        <f t="shared" si="24"/>
        <v>0</v>
      </c>
      <c r="BJ12" s="30" t="e">
        <f t="shared" si="25"/>
        <v>#NUM!</v>
      </c>
      <c r="BK12" s="29" t="e">
        <f t="shared" si="26"/>
        <v>#NUM!</v>
      </c>
      <c r="BL12" s="29" t="e">
        <f t="shared" si="27"/>
        <v>#NUM!</v>
      </c>
      <c r="BM12" s="29">
        <f t="shared" si="28"/>
        <v>0</v>
      </c>
      <c r="BN12" s="5" t="e">
        <f t="shared" si="29"/>
        <v>#NUM!</v>
      </c>
      <c r="BO12" s="4">
        <f t="shared" si="30"/>
        <v>5.6</v>
      </c>
      <c r="BP12" s="4">
        <f t="shared" si="31"/>
        <v>-9.25</v>
      </c>
      <c r="BQ12">
        <f t="shared" si="32"/>
        <v>5.6</v>
      </c>
      <c r="BR12">
        <f t="shared" si="33"/>
        <v>-9.25</v>
      </c>
      <c r="BS12">
        <f t="shared" si="44"/>
        <v>5.6234132519034889E-10</v>
      </c>
      <c r="BT12" s="4">
        <f t="shared" si="34"/>
        <v>0.99706565339412112</v>
      </c>
      <c r="BU12" s="1">
        <f t="shared" si="35"/>
        <v>-10.465269475647764</v>
      </c>
    </row>
    <row r="13" spans="2:73" x14ac:dyDescent="0.2">
      <c r="C13" s="8"/>
      <c r="D13" s="47"/>
      <c r="E13" s="71" t="str">
        <f t="shared" si="45"/>
        <v xml:space="preserve">capillary moisture content </v>
      </c>
      <c r="F13" s="71"/>
      <c r="G13" s="71"/>
      <c r="H13" s="71"/>
      <c r="I13" s="60">
        <f t="shared" si="46"/>
        <v>894</v>
      </c>
      <c r="K13" s="51" t="str">
        <f>B19</f>
        <v>data source</v>
      </c>
      <c r="L13" s="51"/>
      <c r="M13" s="51"/>
      <c r="N13" s="51"/>
      <c r="O13" s="52"/>
      <c r="P13" s="58" t="str">
        <f>C19</f>
        <v>'Anne-Séverine'</v>
      </c>
      <c r="X13" s="13">
        <v>0.6</v>
      </c>
      <c r="Y13" s="29">
        <f t="shared" si="0"/>
        <v>-69202741.051061511</v>
      </c>
      <c r="Z13" s="4">
        <f t="shared" si="36"/>
        <v>7.8401232967656389</v>
      </c>
      <c r="AA13" s="5">
        <f t="shared" si="1"/>
        <v>2221.199698259737</v>
      </c>
      <c r="AB13" s="29">
        <f t="shared" si="2"/>
        <v>3.841415083021063E-3</v>
      </c>
      <c r="AC13" s="5">
        <f t="shared" si="3"/>
        <v>19156.077475921094</v>
      </c>
      <c r="AD13" s="1">
        <f t="shared" si="4"/>
        <v>0</v>
      </c>
      <c r="AE13" s="5">
        <f t="shared" si="5"/>
        <v>52183980126.698845</v>
      </c>
      <c r="AF13">
        <f t="shared" si="6"/>
        <v>2.7614009073170903E-9</v>
      </c>
      <c r="AG13" s="4">
        <f t="shared" si="7"/>
        <v>3.4342275529132418</v>
      </c>
      <c r="AH13" s="29">
        <f t="shared" si="47"/>
        <v>13.016036777956767</v>
      </c>
      <c r="AI13" s="29">
        <f t="shared" si="37"/>
        <v>132725.55440890932</v>
      </c>
      <c r="AJ13" s="29">
        <f t="shared" si="48"/>
        <v>138.4090946286446</v>
      </c>
      <c r="AK13" s="29">
        <f t="shared" si="8"/>
        <v>182721.63945782479</v>
      </c>
      <c r="AL13" s="29">
        <f t="shared" si="49"/>
        <v>307814775.37277961</v>
      </c>
      <c r="AM13" s="29">
        <f t="shared" si="9"/>
        <v>182722.36593032451</v>
      </c>
      <c r="AN13" s="29">
        <f t="shared" si="38"/>
        <v>182722.36593032451</v>
      </c>
      <c r="AO13" s="14">
        <f t="shared" si="39"/>
        <v>6.1923167429631415E-2</v>
      </c>
      <c r="AP13" s="15">
        <f t="shared" si="10"/>
        <v>1025.3751258076368</v>
      </c>
      <c r="AQ13" s="26">
        <f t="shared" si="11"/>
        <v>0.99615858215557807</v>
      </c>
      <c r="AR13" s="1">
        <f t="shared" si="12"/>
        <v>3.4266676345705625E-11</v>
      </c>
      <c r="AS13" s="1">
        <f t="shared" si="13"/>
        <v>2.2861438328068813E-8</v>
      </c>
      <c r="AT13">
        <f t="shared" si="14"/>
        <v>9.1445753312275263E-10</v>
      </c>
      <c r="AU13">
        <f t="shared" si="40"/>
        <v>2.6100000000000001E-5</v>
      </c>
      <c r="AV13" s="29">
        <f t="shared" si="50"/>
        <v>305.7497706856077</v>
      </c>
      <c r="AW13" s="29">
        <f t="shared" si="41"/>
        <v>5.6000156599999995</v>
      </c>
      <c r="AX13" s="27">
        <f t="shared" si="42"/>
        <v>3.4266676345705625E-11</v>
      </c>
      <c r="AY13">
        <f t="shared" si="15"/>
        <v>0</v>
      </c>
      <c r="AZ13" s="5">
        <f t="shared" si="16"/>
        <v>3.4342275529132418</v>
      </c>
      <c r="BA13" s="5">
        <f t="shared" si="17"/>
        <v>0.10405133532319123</v>
      </c>
      <c r="BB13" s="29" t="e">
        <f t="shared" si="18"/>
        <v>#NUM!</v>
      </c>
      <c r="BC13" s="29" t="e">
        <f t="shared" si="19"/>
        <v>#NUM!</v>
      </c>
      <c r="BD13" s="29" t="e">
        <f t="shared" si="20"/>
        <v>#NUM!</v>
      </c>
      <c r="BE13" s="29">
        <f t="shared" si="43"/>
        <v>0</v>
      </c>
      <c r="BF13" s="5" t="e">
        <f t="shared" si="21"/>
        <v>#NUM!</v>
      </c>
      <c r="BG13" s="29" t="e">
        <f t="shared" si="22"/>
        <v>#NUM!</v>
      </c>
      <c r="BH13" s="29" t="e">
        <f t="shared" si="23"/>
        <v>#NUM!</v>
      </c>
      <c r="BI13" s="29">
        <f t="shared" si="24"/>
        <v>0</v>
      </c>
      <c r="BJ13" s="30" t="e">
        <f t="shared" si="25"/>
        <v>#NUM!</v>
      </c>
      <c r="BK13" s="29" t="e">
        <f t="shared" si="26"/>
        <v>#NUM!</v>
      </c>
      <c r="BL13" s="29" t="e">
        <f t="shared" si="27"/>
        <v>#NUM!</v>
      </c>
      <c r="BM13" s="29">
        <f t="shared" si="28"/>
        <v>0</v>
      </c>
      <c r="BN13" s="5" t="e">
        <f t="shared" si="29"/>
        <v>#NUM!</v>
      </c>
      <c r="BO13" s="4">
        <f t="shared" si="30"/>
        <v>5.6</v>
      </c>
      <c r="BP13" s="4">
        <f t="shared" si="31"/>
        <v>-9.24565166</v>
      </c>
      <c r="BQ13">
        <f t="shared" si="32"/>
        <v>5.6</v>
      </c>
      <c r="BR13">
        <f t="shared" si="33"/>
        <v>-9.24565166</v>
      </c>
      <c r="BS13">
        <f t="shared" si="44"/>
        <v>5.6800000560942224E-10</v>
      </c>
      <c r="BT13" s="4">
        <f t="shared" si="34"/>
        <v>0.99706565339412112</v>
      </c>
      <c r="BU13" s="1">
        <f t="shared" si="35"/>
        <v>-10.465128017388635</v>
      </c>
    </row>
    <row r="14" spans="2:73" ht="13.5" thickBot="1" x14ac:dyDescent="0.25">
      <c r="E14" s="72" t="str">
        <f t="shared" si="45"/>
        <v>absorbivity for short wave radiation [-]</v>
      </c>
      <c r="F14" s="72"/>
      <c r="G14" s="72"/>
      <c r="H14" s="72"/>
      <c r="I14" s="55">
        <f t="shared" si="46"/>
        <v>0.5</v>
      </c>
      <c r="K14" s="56" t="s">
        <v>139</v>
      </c>
      <c r="L14" s="56"/>
      <c r="M14" s="56"/>
      <c r="N14" s="56"/>
      <c r="O14" s="53"/>
      <c r="P14" s="59">
        <f>$C$12</f>
        <v>7</v>
      </c>
      <c r="X14" s="13">
        <v>0.7</v>
      </c>
      <c r="Y14" s="29">
        <f t="shared" si="0"/>
        <v>-48319588.204724066</v>
      </c>
      <c r="Z14" s="4">
        <f t="shared" si="36"/>
        <v>7.6841232244297544</v>
      </c>
      <c r="AA14" s="5">
        <f t="shared" si="1"/>
        <v>1295.9477657852462</v>
      </c>
      <c r="AB14" s="29">
        <f t="shared" si="2"/>
        <v>4.5958602758080606E-3</v>
      </c>
      <c r="AC14" s="5">
        <f t="shared" si="3"/>
        <v>9339.1304170964358</v>
      </c>
      <c r="AD14" s="1">
        <f t="shared" si="4"/>
        <v>0</v>
      </c>
      <c r="AE14" s="5">
        <f t="shared" si="5"/>
        <v>9305438708.0450611</v>
      </c>
      <c r="AF14">
        <f t="shared" si="6"/>
        <v>1.0818806123685073E-8</v>
      </c>
      <c r="AG14" s="4">
        <f t="shared" si="7"/>
        <v>4.108708758585081</v>
      </c>
      <c r="AH14" s="29">
        <f t="shared" si="47"/>
        <v>10.879355985470822</v>
      </c>
      <c r="AI14" s="29">
        <f t="shared" si="37"/>
        <v>110838.47598624538</v>
      </c>
      <c r="AJ14" s="29">
        <f t="shared" si="48"/>
        <v>96.644350156108118</v>
      </c>
      <c r="AK14" s="29">
        <f t="shared" si="8"/>
        <v>160830.446334715</v>
      </c>
      <c r="AL14" s="29">
        <f t="shared" si="49"/>
        <v>78566894.561419055</v>
      </c>
      <c r="AM14" s="29">
        <f t="shared" si="9"/>
        <v>160832.43366010691</v>
      </c>
      <c r="AN14" s="29">
        <f t="shared" si="38"/>
        <v>160832.43366010691</v>
      </c>
      <c r="AO14" s="14">
        <f t="shared" si="39"/>
        <v>6.2300876904807644E-2</v>
      </c>
      <c r="AP14" s="15">
        <f t="shared" si="10"/>
        <v>1030.3587924939898</v>
      </c>
      <c r="AQ14" s="26">
        <f t="shared" si="11"/>
        <v>0.99540412890538577</v>
      </c>
      <c r="AR14" s="1">
        <f t="shared" si="12"/>
        <v>3.4282186709718353E-11</v>
      </c>
      <c r="AS14" s="1">
        <f t="shared" si="13"/>
        <v>2.2861438328068813E-8</v>
      </c>
      <c r="AT14">
        <f t="shared" si="14"/>
        <v>9.1445753312275263E-10</v>
      </c>
      <c r="AU14">
        <f t="shared" si="40"/>
        <v>2.6100000000000001E-5</v>
      </c>
      <c r="AV14" s="29">
        <f t="shared" si="50"/>
        <v>305.7497706856077</v>
      </c>
      <c r="AW14" s="29">
        <f t="shared" si="41"/>
        <v>5.6000182699999996</v>
      </c>
      <c r="AX14" s="27">
        <f t="shared" si="42"/>
        <v>3.4282186709718353E-11</v>
      </c>
      <c r="AY14">
        <f t="shared" si="15"/>
        <v>0</v>
      </c>
      <c r="AZ14" s="5">
        <f t="shared" si="16"/>
        <v>4.108708758585081</v>
      </c>
      <c r="BA14" s="5">
        <f t="shared" si="17"/>
        <v>0.12424667241656785</v>
      </c>
      <c r="BB14" s="29" t="e">
        <f t="shared" si="18"/>
        <v>#NUM!</v>
      </c>
      <c r="BC14" s="29" t="e">
        <f t="shared" si="19"/>
        <v>#NUM!</v>
      </c>
      <c r="BD14" s="29" t="e">
        <f t="shared" si="20"/>
        <v>#NUM!</v>
      </c>
      <c r="BE14" s="29">
        <f t="shared" si="43"/>
        <v>0</v>
      </c>
      <c r="BF14" s="5" t="e">
        <f t="shared" si="21"/>
        <v>#NUM!</v>
      </c>
      <c r="BG14" s="29" t="e">
        <f t="shared" si="22"/>
        <v>#NUM!</v>
      </c>
      <c r="BH14" s="29" t="e">
        <f t="shared" si="23"/>
        <v>#NUM!</v>
      </c>
      <c r="BI14" s="29">
        <f t="shared" si="24"/>
        <v>0</v>
      </c>
      <c r="BJ14" s="30" t="e">
        <f t="shared" si="25"/>
        <v>#NUM!</v>
      </c>
      <c r="BK14" s="29" t="e">
        <f t="shared" si="26"/>
        <v>#NUM!</v>
      </c>
      <c r="BL14" s="29" t="e">
        <f t="shared" si="27"/>
        <v>#NUM!</v>
      </c>
      <c r="BM14" s="29">
        <f t="shared" si="28"/>
        <v>0</v>
      </c>
      <c r="BN14" s="5" t="e">
        <f t="shared" si="29"/>
        <v>#NUM!</v>
      </c>
      <c r="BO14" s="4">
        <f t="shared" si="30"/>
        <v>5.7</v>
      </c>
      <c r="BP14" s="4">
        <f t="shared" si="31"/>
        <v>-9.9788107000000004</v>
      </c>
      <c r="BQ14">
        <f t="shared" si="32"/>
        <v>5.7</v>
      </c>
      <c r="BR14">
        <f t="shared" si="33"/>
        <v>-9.9788107000000004</v>
      </c>
      <c r="BS14">
        <f t="shared" si="44"/>
        <v>1.0500000022486208E-10</v>
      </c>
      <c r="BT14" s="4">
        <f t="shared" si="34"/>
        <v>0.99630728086423948</v>
      </c>
      <c r="BU14" s="1">
        <f t="shared" si="35"/>
        <v>-10.46493148413286</v>
      </c>
    </row>
    <row r="15" spans="2:73" x14ac:dyDescent="0.2">
      <c r="F15" s="8"/>
      <c r="G15" s="8"/>
      <c r="H15" s="8"/>
      <c r="I15" s="8"/>
      <c r="X15" s="13">
        <v>0.8</v>
      </c>
      <c r="Y15" s="29">
        <f t="shared" si="0"/>
        <v>-30229778.383015409</v>
      </c>
      <c r="Z15" s="4">
        <f t="shared" si="36"/>
        <v>7.4804349633410228</v>
      </c>
      <c r="AA15" s="5">
        <f t="shared" si="1"/>
        <v>641.29094193613992</v>
      </c>
      <c r="AB15" s="29">
        <f t="shared" si="2"/>
        <v>5.8075815360492744E-3</v>
      </c>
      <c r="AC15" s="5">
        <f t="shared" si="3"/>
        <v>3655.3580043449024</v>
      </c>
      <c r="AD15" s="1">
        <f t="shared" si="4"/>
        <v>0</v>
      </c>
      <c r="AE15" s="5">
        <f t="shared" si="5"/>
        <v>979564865.47660553</v>
      </c>
      <c r="AF15">
        <f t="shared" si="6"/>
        <v>6.4345863184947571E-8</v>
      </c>
      <c r="AG15" s="4">
        <f t="shared" si="7"/>
        <v>5.1920354184297386</v>
      </c>
      <c r="AH15" s="29">
        <f t="shared" si="47"/>
        <v>8.6094357332111642</v>
      </c>
      <c r="AI15" s="29">
        <f t="shared" si="37"/>
        <v>87556.638586804998</v>
      </c>
      <c r="AJ15" s="29">
        <f t="shared" si="48"/>
        <v>60.467826191660819</v>
      </c>
      <c r="AK15" s="29">
        <f t="shared" si="8"/>
        <v>137536.12777478292</v>
      </c>
      <c r="AL15" s="29">
        <f t="shared" si="49"/>
        <v>13209862.420477102</v>
      </c>
      <c r="AM15" s="29">
        <f t="shared" si="9"/>
        <v>137543.52249953226</v>
      </c>
      <c r="AN15" s="29">
        <f t="shared" si="38"/>
        <v>137543.52249953226</v>
      </c>
      <c r="AO15" s="14">
        <f t="shared" si="39"/>
        <v>6.2907539834320653E-2</v>
      </c>
      <c r="AP15" s="15">
        <f t="shared" si="10"/>
        <v>1038.363372813953</v>
      </c>
      <c r="AQ15" s="26">
        <f t="shared" si="11"/>
        <v>0.9941923541180876</v>
      </c>
      <c r="AR15" s="1">
        <f t="shared" si="12"/>
        <v>3.4307111647989318E-11</v>
      </c>
      <c r="AS15" s="1">
        <f t="shared" si="13"/>
        <v>2.2861438328068813E-8</v>
      </c>
      <c r="AT15">
        <f t="shared" si="14"/>
        <v>9.1445753312275263E-10</v>
      </c>
      <c r="AU15">
        <f t="shared" si="40"/>
        <v>2.6100000000000001E-5</v>
      </c>
      <c r="AV15" s="29">
        <f t="shared" si="50"/>
        <v>305.7497706856077</v>
      </c>
      <c r="AW15" s="29">
        <f t="shared" si="41"/>
        <v>5.6000208799999998</v>
      </c>
      <c r="AX15" s="27">
        <f t="shared" si="42"/>
        <v>3.4307111647989318E-11</v>
      </c>
      <c r="AY15">
        <f t="shared" si="15"/>
        <v>0</v>
      </c>
      <c r="AZ15" s="5">
        <f t="shared" si="16"/>
        <v>5.1920354184297386</v>
      </c>
      <c r="BA15" s="5">
        <f t="shared" si="17"/>
        <v>0.15650142762266306</v>
      </c>
      <c r="BB15" s="29" t="e">
        <f t="shared" si="18"/>
        <v>#NUM!</v>
      </c>
      <c r="BC15" s="29" t="e">
        <f t="shared" si="19"/>
        <v>#NUM!</v>
      </c>
      <c r="BD15" s="29" t="e">
        <f t="shared" si="20"/>
        <v>#NUM!</v>
      </c>
      <c r="BE15" s="29">
        <f t="shared" si="43"/>
        <v>0</v>
      </c>
      <c r="BF15" s="5" t="e">
        <f t="shared" si="21"/>
        <v>#NUM!</v>
      </c>
      <c r="BG15" s="29" t="e">
        <f t="shared" si="22"/>
        <v>#NUM!</v>
      </c>
      <c r="BH15" s="29" t="e">
        <f t="shared" si="23"/>
        <v>#NUM!</v>
      </c>
      <c r="BI15" s="29">
        <f t="shared" si="24"/>
        <v>0</v>
      </c>
      <c r="BJ15" s="30" t="e">
        <f t="shared" si="25"/>
        <v>#NUM!</v>
      </c>
      <c r="BK15" s="29" t="e">
        <f t="shared" si="26"/>
        <v>#NUM!</v>
      </c>
      <c r="BL15" s="29" t="e">
        <f t="shared" si="27"/>
        <v>#NUM!</v>
      </c>
      <c r="BM15" s="29">
        <f t="shared" si="28"/>
        <v>0</v>
      </c>
      <c r="BN15" s="5" t="e">
        <f t="shared" si="29"/>
        <v>#NUM!</v>
      </c>
      <c r="BO15" s="4">
        <f t="shared" si="30"/>
        <v>5.8</v>
      </c>
      <c r="BP15" s="4">
        <f t="shared" si="31"/>
        <v>-10.53313238</v>
      </c>
      <c r="BQ15">
        <f t="shared" si="32"/>
        <v>5.8</v>
      </c>
      <c r="BR15">
        <f t="shared" si="33"/>
        <v>-10.53313238</v>
      </c>
      <c r="BS15">
        <f t="shared" si="44"/>
        <v>2.9299999976109665E-11</v>
      </c>
      <c r="BT15" s="4">
        <f t="shared" si="34"/>
        <v>0.9953533665487545</v>
      </c>
      <c r="BU15" s="1">
        <f t="shared" si="35"/>
        <v>-10.464615844116459</v>
      </c>
    </row>
    <row r="16" spans="2:73" x14ac:dyDescent="0.2">
      <c r="F16" s="8"/>
      <c r="G16" s="8"/>
      <c r="H16" s="8"/>
      <c r="I16" s="8"/>
      <c r="X16" s="13">
        <v>0.9</v>
      </c>
      <c r="Y16" s="29">
        <f t="shared" si="0"/>
        <v>-14273435.28369082</v>
      </c>
      <c r="Z16" s="4">
        <f t="shared" si="36"/>
        <v>7.1545285102695528</v>
      </c>
      <c r="AA16" s="5">
        <f t="shared" si="1"/>
        <v>208.06327302771604</v>
      </c>
      <c r="AB16" s="29">
        <f t="shared" si="2"/>
        <v>8.4395155002380158E-3</v>
      </c>
      <c r="AC16" s="5">
        <f t="shared" si="3"/>
        <v>814.92381919084005</v>
      </c>
      <c r="AD16" s="1">
        <f t="shared" si="4"/>
        <v>0</v>
      </c>
      <c r="AE16" s="5">
        <f t="shared" si="5"/>
        <v>26710512.742504925</v>
      </c>
      <c r="AF16">
        <f t="shared" si="6"/>
        <v>1.115543707190565E-6</v>
      </c>
      <c r="AG16" s="4">
        <f t="shared" si="7"/>
        <v>7.5459241532870136</v>
      </c>
      <c r="AH16" s="29">
        <f t="shared" si="47"/>
        <v>5.9245107137477122</v>
      </c>
      <c r="AI16" s="29">
        <f t="shared" si="37"/>
        <v>59882.400116197889</v>
      </c>
      <c r="AJ16" s="29">
        <f t="shared" si="48"/>
        <v>28.56438025217491</v>
      </c>
      <c r="AK16" s="29">
        <f t="shared" si="8"/>
        <v>109790.50794017153</v>
      </c>
      <c r="AL16" s="29">
        <f t="shared" si="49"/>
        <v>761960.28404900222</v>
      </c>
      <c r="AM16" s="29">
        <f t="shared" si="9"/>
        <v>109851.0394495915</v>
      </c>
      <c r="AN16" s="29">
        <f t="shared" si="38"/>
        <v>109851.0394495915</v>
      </c>
      <c r="AO16" s="14">
        <f t="shared" si="39"/>
        <v>6.422571752584072E-2</v>
      </c>
      <c r="AP16" s="15">
        <f t="shared" si="10"/>
        <v>1055.7559951326207</v>
      </c>
      <c r="AQ16" s="26">
        <f t="shared" si="11"/>
        <v>0.99155936895605479</v>
      </c>
      <c r="AR16" s="1">
        <f t="shared" si="12"/>
        <v>3.4361323267663438E-11</v>
      </c>
      <c r="AS16" s="1">
        <f t="shared" si="13"/>
        <v>2.2861438328068813E-8</v>
      </c>
      <c r="AT16">
        <f t="shared" si="14"/>
        <v>9.1445753312275263E-10</v>
      </c>
      <c r="AU16">
        <f t="shared" si="40"/>
        <v>2.6100000000000001E-5</v>
      </c>
      <c r="AV16" s="29">
        <f t="shared" si="50"/>
        <v>305.7497706856077</v>
      </c>
      <c r="AW16" s="29">
        <f t="shared" si="41"/>
        <v>5.6000234899999999</v>
      </c>
      <c r="AX16" s="27">
        <f t="shared" si="42"/>
        <v>3.4361323267663438E-11</v>
      </c>
      <c r="AY16">
        <f t="shared" si="15"/>
        <v>0</v>
      </c>
      <c r="AZ16" s="5">
        <f t="shared" si="16"/>
        <v>7.5459241532870136</v>
      </c>
      <c r="BA16" s="5">
        <f t="shared" si="17"/>
        <v>0.22574688602157186</v>
      </c>
      <c r="BB16" s="29" t="e">
        <f t="shared" si="18"/>
        <v>#NUM!</v>
      </c>
      <c r="BC16" s="29" t="e">
        <f t="shared" si="19"/>
        <v>#NUM!</v>
      </c>
      <c r="BD16" s="29" t="e">
        <f t="shared" si="20"/>
        <v>#NUM!</v>
      </c>
      <c r="BE16" s="29">
        <f t="shared" si="43"/>
        <v>0</v>
      </c>
      <c r="BF16" s="5" t="e">
        <f t="shared" si="21"/>
        <v>#NUM!</v>
      </c>
      <c r="BG16" s="29" t="e">
        <f t="shared" si="22"/>
        <v>#NUM!</v>
      </c>
      <c r="BH16" s="29" t="e">
        <f t="shared" si="23"/>
        <v>#NUM!</v>
      </c>
      <c r="BI16" s="29">
        <f t="shared" si="24"/>
        <v>0</v>
      </c>
      <c r="BJ16" s="30" t="e">
        <f t="shared" si="25"/>
        <v>#NUM!</v>
      </c>
      <c r="BK16" s="29" t="e">
        <f t="shared" si="26"/>
        <v>#NUM!</v>
      </c>
      <c r="BL16" s="29" t="e">
        <f t="shared" si="27"/>
        <v>#NUM!</v>
      </c>
      <c r="BM16" s="29">
        <f t="shared" si="28"/>
        <v>0</v>
      </c>
      <c r="BN16" s="5" t="e">
        <f t="shared" si="29"/>
        <v>#NUM!</v>
      </c>
      <c r="BO16" s="4">
        <f t="shared" si="30"/>
        <v>5.9</v>
      </c>
      <c r="BP16" s="4">
        <f t="shared" si="31"/>
        <v>-11.06298389</v>
      </c>
      <c r="BQ16">
        <f t="shared" si="32"/>
        <v>5.9</v>
      </c>
      <c r="BR16">
        <f t="shared" si="33"/>
        <v>-11.06298389</v>
      </c>
      <c r="BS16">
        <f t="shared" si="44"/>
        <v>8.6500000504941779E-12</v>
      </c>
      <c r="BT16" s="4">
        <f t="shared" si="34"/>
        <v>0.99415375813454232</v>
      </c>
      <c r="BU16" s="1">
        <f t="shared" si="35"/>
        <v>-10.46393011967262</v>
      </c>
    </row>
    <row r="17" spans="1:73" x14ac:dyDescent="0.2">
      <c r="X17" s="13">
        <v>0.99</v>
      </c>
      <c r="Y17" s="29">
        <f t="shared" si="0"/>
        <v>-1361542.4857087312</v>
      </c>
      <c r="Z17" s="4">
        <f t="shared" si="36"/>
        <v>6.1340311976561379</v>
      </c>
      <c r="AA17" s="5">
        <f t="shared" si="1"/>
        <v>6.1298444933557832</v>
      </c>
      <c r="AB17" s="29">
        <f t="shared" si="2"/>
        <v>2.5995270749746602E-2</v>
      </c>
      <c r="AC17" s="5">
        <f t="shared" si="3"/>
        <v>7.415191761559643</v>
      </c>
      <c r="AD17" s="1">
        <f t="shared" si="4"/>
        <v>0</v>
      </c>
      <c r="AE17" s="5">
        <f t="shared" si="5"/>
        <v>337.51658981888295</v>
      </c>
      <c r="AF17">
        <f t="shared" si="6"/>
        <v>8.4331844564752307E-3</v>
      </c>
      <c r="AG17" s="4">
        <f t="shared" si="7"/>
        <v>30.779038954362321</v>
      </c>
      <c r="AH17" s="29">
        <f t="shared" si="47"/>
        <v>1.923426783330864</v>
      </c>
      <c r="AI17" s="29">
        <f t="shared" si="37"/>
        <v>15199.53965528598</v>
      </c>
      <c r="AJ17" s="29">
        <f t="shared" si="48"/>
        <v>2.9008949931977277</v>
      </c>
      <c r="AK17" s="29">
        <f t="shared" si="8"/>
        <v>56557.352054293893</v>
      </c>
      <c r="AL17" s="29">
        <f t="shared" si="49"/>
        <v>100.79229315888455</v>
      </c>
      <c r="AM17" s="29">
        <f t="shared" si="9"/>
        <v>100078.90498928004</v>
      </c>
      <c r="AN17" s="29">
        <f t="shared" si="38"/>
        <v>100078.90498928004</v>
      </c>
      <c r="AO17" s="14">
        <f t="shared" si="39"/>
        <v>7.7236261814442903E-2</v>
      </c>
      <c r="AP17" s="15">
        <f t="shared" si="10"/>
        <v>1227.422898940566</v>
      </c>
      <c r="AQ17" s="26">
        <f t="shared" si="11"/>
        <v>0.96557154479377816</v>
      </c>
      <c r="AR17" s="1">
        <f t="shared" si="12"/>
        <v>3.4900164988999456E-11</v>
      </c>
      <c r="AS17" s="1">
        <f t="shared" si="13"/>
        <v>2.2861438328068813E-8</v>
      </c>
      <c r="AT17">
        <f t="shared" si="14"/>
        <v>9.1445753312275263E-10</v>
      </c>
      <c r="AU17">
        <f t="shared" si="40"/>
        <v>2.6100000000000001E-5</v>
      </c>
      <c r="AV17" s="29">
        <f t="shared" si="50"/>
        <v>305.7497706856077</v>
      </c>
      <c r="AW17" s="29">
        <f t="shared" si="41"/>
        <v>5.6000258389999997</v>
      </c>
      <c r="AX17" s="27">
        <f t="shared" si="42"/>
        <v>3.4900164988999456E-11</v>
      </c>
      <c r="AY17">
        <f t="shared" si="15"/>
        <v>0</v>
      </c>
      <c r="AZ17" s="5">
        <f t="shared" si="16"/>
        <v>30.779038954362321</v>
      </c>
      <c r="BA17" s="5">
        <f t="shared" si="17"/>
        <v>0.82005343109797557</v>
      </c>
      <c r="BB17" s="29" t="e">
        <f t="shared" si="18"/>
        <v>#NUM!</v>
      </c>
      <c r="BC17" s="29" t="e">
        <f t="shared" si="19"/>
        <v>#NUM!</v>
      </c>
      <c r="BD17" s="29" t="e">
        <f t="shared" si="20"/>
        <v>#NUM!</v>
      </c>
      <c r="BE17" s="29">
        <f t="shared" si="43"/>
        <v>0</v>
      </c>
      <c r="BF17" s="5" t="e">
        <f t="shared" si="21"/>
        <v>#NUM!</v>
      </c>
      <c r="BG17" s="29" t="e">
        <f t="shared" si="22"/>
        <v>#NUM!</v>
      </c>
      <c r="BH17" s="29" t="e">
        <f t="shared" si="23"/>
        <v>#NUM!</v>
      </c>
      <c r="BI17" s="29">
        <f t="shared" si="24"/>
        <v>0</v>
      </c>
      <c r="BJ17" s="30" t="e">
        <f t="shared" si="25"/>
        <v>#NUM!</v>
      </c>
      <c r="BK17" s="29" t="e">
        <f t="shared" si="26"/>
        <v>#NUM!</v>
      </c>
      <c r="BL17" s="29" t="e">
        <f t="shared" si="27"/>
        <v>#NUM!</v>
      </c>
      <c r="BM17" s="29">
        <f t="shared" si="28"/>
        <v>0</v>
      </c>
      <c r="BN17" s="5" t="e">
        <f t="shared" si="29"/>
        <v>#NUM!</v>
      </c>
      <c r="BO17" s="4">
        <f t="shared" si="30"/>
        <v>6</v>
      </c>
      <c r="BP17" s="4">
        <f t="shared" si="31"/>
        <v>-11.5559552</v>
      </c>
      <c r="BQ17">
        <f t="shared" si="32"/>
        <v>6</v>
      </c>
      <c r="BR17">
        <f t="shared" si="33"/>
        <v>-11.5559552</v>
      </c>
      <c r="BS17">
        <f t="shared" si="44"/>
        <v>2.7800000261291535E-12</v>
      </c>
      <c r="BT17" s="4">
        <f t="shared" si="34"/>
        <v>0.99264559616948456</v>
      </c>
      <c r="BU17" s="1">
        <f t="shared" si="35"/>
        <v>-10.457172519927848</v>
      </c>
    </row>
    <row r="18" spans="1:73" x14ac:dyDescent="0.2">
      <c r="A18" s="31">
        <v>1</v>
      </c>
      <c r="B18" s="11" t="s">
        <v>127</v>
      </c>
      <c r="C18" s="8" t="str">
        <f>INDEX(materials_HAMFEM!$C$4:$AU$55,interface!$C$12,A18)</f>
        <v>'calcium silicate'</v>
      </c>
      <c r="D18" s="47"/>
      <c r="X18" s="13">
        <v>0.99990000000000001</v>
      </c>
      <c r="Y18" s="29">
        <f t="shared" si="0"/>
        <v>-13547.911106844342</v>
      </c>
      <c r="Z18" s="4">
        <f t="shared" si="36"/>
        <v>4.1318723384055991</v>
      </c>
      <c r="AA18" s="5">
        <f t="shared" si="1"/>
        <v>6.0843076842131858E-3</v>
      </c>
      <c r="AB18" s="29">
        <f t="shared" si="2"/>
        <v>4.9899105149058945E-2</v>
      </c>
      <c r="AC18" s="5">
        <f t="shared" si="3"/>
        <v>7.3418358143582507E-4</v>
      </c>
      <c r="AD18" s="1">
        <f t="shared" si="4"/>
        <v>0</v>
      </c>
      <c r="AE18" s="5">
        <f t="shared" si="5"/>
        <v>8.2781368181864171E-8</v>
      </c>
      <c r="AF18">
        <f t="shared" si="6"/>
        <v>0.84999994427158698</v>
      </c>
      <c r="AG18" s="4">
        <f t="shared" si="7"/>
        <v>804.50975018205747</v>
      </c>
      <c r="AH18" s="29">
        <f t="shared" si="47"/>
        <v>1.0020219771605055</v>
      </c>
      <c r="AI18" s="29">
        <f t="shared" si="37"/>
        <v>2.042101768588612</v>
      </c>
      <c r="AJ18" s="29">
        <f t="shared" si="48"/>
        <v>1.0003670244372491</v>
      </c>
      <c r="AK18" s="29">
        <f t="shared" si="8"/>
        <v>3.0356727622520401</v>
      </c>
      <c r="AL18" s="29">
        <f t="shared" si="49"/>
        <v>1.0000000655628432</v>
      </c>
      <c r="AM18" s="29">
        <f t="shared" si="9"/>
        <v>3.0392967791886196</v>
      </c>
      <c r="AN18" s="29">
        <f t="shared" si="38"/>
        <v>3.0392967791886196</v>
      </c>
      <c r="AO18" s="14">
        <f t="shared" si="39"/>
        <v>0.51052546010195221</v>
      </c>
      <c r="AP18" s="15">
        <f t="shared" si="10"/>
        <v>6944.4331541229794</v>
      </c>
      <c r="AQ18" s="26">
        <f t="shared" si="11"/>
        <v>0.10010095057935409</v>
      </c>
      <c r="AR18" s="1">
        <f t="shared" si="12"/>
        <v>1.6451755975947347E-11</v>
      </c>
      <c r="AS18" s="1">
        <f t="shared" si="13"/>
        <v>2.2861438328068813E-8</v>
      </c>
      <c r="AT18">
        <f t="shared" si="14"/>
        <v>9.1445753312275263E-10</v>
      </c>
      <c r="AU18">
        <f t="shared" si="40"/>
        <v>2.6100000000000001E-5</v>
      </c>
      <c r="AV18" s="29">
        <f t="shared" si="50"/>
        <v>305.7497706856077</v>
      </c>
      <c r="AW18" s="29">
        <f t="shared" si="41"/>
        <v>5.6000260973899998</v>
      </c>
      <c r="AX18" s="27">
        <f t="shared" si="42"/>
        <v>1.6451755975947347E-11</v>
      </c>
      <c r="AY18">
        <f t="shared" si="15"/>
        <v>0</v>
      </c>
      <c r="AZ18" s="5">
        <f t="shared" si="16"/>
        <v>804.50975018205747</v>
      </c>
      <c r="BA18" s="5">
        <f t="shared" si="17"/>
        <v>358399.67182927561</v>
      </c>
      <c r="BB18" s="29" t="e">
        <f t="shared" si="18"/>
        <v>#NUM!</v>
      </c>
      <c r="BC18" s="29" t="e">
        <f t="shared" si="19"/>
        <v>#NUM!</v>
      </c>
      <c r="BD18" s="29" t="e">
        <f t="shared" si="20"/>
        <v>#NUM!</v>
      </c>
      <c r="BE18" s="29">
        <f t="shared" si="43"/>
        <v>0</v>
      </c>
      <c r="BF18" s="5" t="e">
        <f t="shared" si="21"/>
        <v>#NUM!</v>
      </c>
      <c r="BG18" s="29" t="e">
        <f t="shared" si="22"/>
        <v>#NUM!</v>
      </c>
      <c r="BH18" s="29" t="e">
        <f t="shared" si="23"/>
        <v>#NUM!</v>
      </c>
      <c r="BI18" s="29">
        <f t="shared" si="24"/>
        <v>0</v>
      </c>
      <c r="BJ18" s="30" t="e">
        <f t="shared" si="25"/>
        <v>#NUM!</v>
      </c>
      <c r="BK18" s="29" t="e">
        <f t="shared" si="26"/>
        <v>#NUM!</v>
      </c>
      <c r="BL18" s="29" t="e">
        <f t="shared" si="27"/>
        <v>#NUM!</v>
      </c>
      <c r="BM18" s="29">
        <f t="shared" si="28"/>
        <v>0</v>
      </c>
      <c r="BN18" s="5" t="e">
        <f t="shared" si="29"/>
        <v>#NUM!</v>
      </c>
      <c r="BO18" s="4">
        <f t="shared" si="30"/>
        <v>6.1</v>
      </c>
      <c r="BP18" s="4">
        <f t="shared" si="31"/>
        <v>-12.000869460000001</v>
      </c>
      <c r="BQ18">
        <f t="shared" si="32"/>
        <v>6.1</v>
      </c>
      <c r="BR18">
        <f t="shared" si="33"/>
        <v>-12.000869460000001</v>
      </c>
      <c r="BS18">
        <f t="shared" si="44"/>
        <v>9.9799999704164245E-13</v>
      </c>
      <c r="BT18" s="4">
        <f t="shared" si="34"/>
        <v>0.99075018554702388</v>
      </c>
      <c r="BU18" s="1">
        <f t="shared" si="35"/>
        <v>-10.783787740877271</v>
      </c>
    </row>
    <row r="19" spans="1:73" ht="13.5" thickBot="1" x14ac:dyDescent="0.25">
      <c r="A19" s="31">
        <v>2</v>
      </c>
      <c r="B19" s="11" t="s">
        <v>128</v>
      </c>
      <c r="C19" s="8" t="str">
        <f>INDEX(materials_HAMFEM!$C$4:$AU$55,interface!$C$12,A19)</f>
        <v>'Anne-Séverine'</v>
      </c>
      <c r="D19" s="47"/>
      <c r="X19" s="16">
        <v>0.99999000000000005</v>
      </c>
      <c r="Y19" s="35">
        <f t="shared" si="0"/>
        <v>-1354.7301436558423</v>
      </c>
      <c r="Z19" s="18">
        <f t="shared" si="36"/>
        <v>3.1318527942561976</v>
      </c>
      <c r="AA19" s="34">
        <f t="shared" si="1"/>
        <v>1.9238971533313537E-4</v>
      </c>
      <c r="AB19" s="35">
        <f t="shared" si="2"/>
        <v>4.9996797121928761E-2</v>
      </c>
      <c r="AC19" s="35">
        <f t="shared" si="3"/>
        <v>7.3411750485191154E-6</v>
      </c>
      <c r="AD19" s="17">
        <f t="shared" si="4"/>
        <v>0</v>
      </c>
      <c r="AE19" s="17">
        <f t="shared" si="5"/>
        <v>1.3117128953357867E-12</v>
      </c>
      <c r="AF19" s="19">
        <f t="shared" si="6"/>
        <v>0.84999999999911702</v>
      </c>
      <c r="AG19" s="18">
        <f t="shared" si="7"/>
        <v>804.59713662621493</v>
      </c>
      <c r="AH19" s="18">
        <f>(1+AA19)^$C$36</f>
        <v>1.0000640616650589</v>
      </c>
      <c r="AI19" s="18">
        <f t="shared" si="37"/>
        <v>6.507718769943726E-3</v>
      </c>
      <c r="AJ19" s="18">
        <f>(1+AC19)^$C$42</f>
        <v>1.0000036705807878</v>
      </c>
      <c r="AK19" s="18">
        <f t="shared" si="8"/>
        <v>7.5022389313120349E-3</v>
      </c>
      <c r="AL19" s="18">
        <f>(1+AE19)^$C$46</f>
        <v>1.0000000000010387</v>
      </c>
      <c r="AM19" s="18">
        <f t="shared" si="9"/>
        <v>7.5022446734936852E-3</v>
      </c>
      <c r="AN19" s="29">
        <f t="shared" si="38"/>
        <v>7.5022446734936852E-3</v>
      </c>
      <c r="AO19" s="20">
        <f t="shared" si="39"/>
        <v>0.51057439651068037</v>
      </c>
      <c r="AP19" s="21">
        <f t="shared" si="10"/>
        <v>6945.0788428492551</v>
      </c>
      <c r="AQ19" s="28">
        <f t="shared" si="11"/>
        <v>0.10000320287895426</v>
      </c>
      <c r="AR19" s="17">
        <f t="shared" si="12"/>
        <v>1.6436927429493568E-11</v>
      </c>
      <c r="AS19" s="17">
        <f t="shared" si="13"/>
        <v>2.2861438328068813E-8</v>
      </c>
      <c r="AT19" s="19">
        <f t="shared" si="14"/>
        <v>9.1445753312275263E-10</v>
      </c>
      <c r="AU19">
        <f t="shared" si="40"/>
        <v>2.6100000000000001E-5</v>
      </c>
      <c r="AV19" s="29">
        <f t="shared" si="50"/>
        <v>305.7497706856077</v>
      </c>
      <c r="AW19" s="29">
        <f t="shared" si="41"/>
        <v>5.6000260997389999</v>
      </c>
      <c r="AX19" s="27">
        <f t="shared" si="42"/>
        <v>1.6436927429493568E-11</v>
      </c>
      <c r="AY19">
        <f t="shared" si="15"/>
        <v>0</v>
      </c>
      <c r="AZ19" s="5">
        <f t="shared" si="16"/>
        <v>804.59713662621493</v>
      </c>
      <c r="BA19" s="5">
        <f t="shared" si="17"/>
        <v>358596.79157633631</v>
      </c>
      <c r="BB19" s="29" t="e">
        <f t="shared" si="18"/>
        <v>#NUM!</v>
      </c>
      <c r="BC19" s="29" t="e">
        <f t="shared" si="19"/>
        <v>#NUM!</v>
      </c>
      <c r="BD19" s="29" t="e">
        <f t="shared" si="20"/>
        <v>#NUM!</v>
      </c>
      <c r="BE19" s="29">
        <f t="shared" si="43"/>
        <v>0</v>
      </c>
      <c r="BF19" s="5" t="e">
        <f t="shared" si="21"/>
        <v>#NUM!</v>
      </c>
      <c r="BG19" s="29" t="e">
        <f t="shared" si="22"/>
        <v>#NUM!</v>
      </c>
      <c r="BH19" s="29" t="e">
        <f t="shared" si="23"/>
        <v>#NUM!</v>
      </c>
      <c r="BI19" s="29">
        <f t="shared" si="24"/>
        <v>0</v>
      </c>
      <c r="BJ19" s="30" t="e">
        <f t="shared" si="25"/>
        <v>#NUM!</v>
      </c>
      <c r="BK19" s="29" t="e">
        <f t="shared" si="26"/>
        <v>#NUM!</v>
      </c>
      <c r="BL19" s="29" t="e">
        <f t="shared" si="27"/>
        <v>#NUM!</v>
      </c>
      <c r="BM19" s="29">
        <f t="shared" si="28"/>
        <v>0</v>
      </c>
      <c r="BN19" s="5" t="e">
        <f t="shared" si="29"/>
        <v>#NUM!</v>
      </c>
      <c r="BO19" s="4">
        <f t="shared" si="30"/>
        <v>6.2</v>
      </c>
      <c r="BP19" s="4">
        <f t="shared" si="31"/>
        <v>-12.38090667</v>
      </c>
      <c r="BQ19">
        <f t="shared" si="32"/>
        <v>6.2</v>
      </c>
      <c r="BR19">
        <f t="shared" si="33"/>
        <v>-12.38090667</v>
      </c>
      <c r="BS19">
        <f t="shared" si="44"/>
        <v>4.1599999939965766E-13</v>
      </c>
      <c r="BT19" s="4">
        <f t="shared" si="34"/>
        <v>0.98836915027220162</v>
      </c>
      <c r="BU19" s="1">
        <f t="shared" si="35"/>
        <v>-10.78417936229042</v>
      </c>
    </row>
    <row r="20" spans="1:73" ht="13.5" thickBot="1" x14ac:dyDescent="0.25">
      <c r="A20" s="31">
        <v>3</v>
      </c>
      <c r="B20" s="11" t="s">
        <v>129</v>
      </c>
      <c r="C20" s="8">
        <f>INDEX(materials_HAMFEM!$C$4:$AU$55,interface!$C$12,A20)</f>
        <v>270</v>
      </c>
      <c r="D20" s="47"/>
      <c r="X20" s="13">
        <v>1</v>
      </c>
      <c r="Y20" s="1">
        <f t="shared" si="0"/>
        <v>0</v>
      </c>
      <c r="Z20" s="4" t="e">
        <f t="shared" si="36"/>
        <v>#NUM!</v>
      </c>
      <c r="AA20" s="34">
        <f t="shared" si="1"/>
        <v>0</v>
      </c>
      <c r="AB20" s="1">
        <f t="shared" si="2"/>
        <v>0.05</v>
      </c>
      <c r="AC20" s="35">
        <f t="shared" si="3"/>
        <v>0</v>
      </c>
      <c r="AD20" s="1">
        <f t="shared" si="4"/>
        <v>0</v>
      </c>
      <c r="AE20" s="17">
        <f t="shared" si="5"/>
        <v>0</v>
      </c>
      <c r="AF20">
        <f t="shared" si="6"/>
        <v>0.85</v>
      </c>
      <c r="AG20" s="5">
        <f t="shared" si="7"/>
        <v>804.6</v>
      </c>
      <c r="AH20" s="18">
        <f>(1+AA20)^$C$36</f>
        <v>1</v>
      </c>
      <c r="AI20" s="18">
        <f t="shared" si="37"/>
        <v>0</v>
      </c>
      <c r="AJ20" s="18">
        <f>(1+AC20)^$C$42</f>
        <v>1</v>
      </c>
      <c r="AK20" s="18">
        <f t="shared" si="8"/>
        <v>0</v>
      </c>
      <c r="AL20" s="18">
        <f>(1+AE20)^$C$46</f>
        <v>1</v>
      </c>
      <c r="AM20" s="18">
        <f t="shared" si="9"/>
        <v>0</v>
      </c>
      <c r="AN20" s="29">
        <f t="shared" si="38"/>
        <v>0</v>
      </c>
      <c r="AO20" s="14">
        <f t="shared" si="39"/>
        <v>0.51057599999999992</v>
      </c>
      <c r="AP20" s="15">
        <f t="shared" si="10"/>
        <v>6945.1</v>
      </c>
      <c r="AQ20" s="26">
        <f t="shared" si="11"/>
        <v>9.9999999999999978E-2</v>
      </c>
      <c r="AR20" s="1">
        <f t="shared" si="12"/>
        <v>1.643644148734682E-11</v>
      </c>
      <c r="AS20" s="17">
        <f t="shared" si="13"/>
        <v>2.2861438328068813E-8</v>
      </c>
      <c r="AT20">
        <f t="shared" si="14"/>
        <v>9.1445753312275263E-10</v>
      </c>
      <c r="AU20">
        <f t="shared" si="40"/>
        <v>2.6100000000000001E-5</v>
      </c>
      <c r="AV20" s="29">
        <f t="shared" si="50"/>
        <v>305.7497706856077</v>
      </c>
      <c r="AW20" s="29">
        <f t="shared" si="41"/>
        <v>5.6000261</v>
      </c>
      <c r="AX20" s="27">
        <f t="shared" si="42"/>
        <v>1.643644148734682E-11</v>
      </c>
      <c r="AY20">
        <f t="shared" si="15"/>
        <v>0</v>
      </c>
      <c r="AZ20" s="5">
        <f t="shared" si="16"/>
        <v>804.6</v>
      </c>
      <c r="BA20" s="5">
        <f t="shared" si="17"/>
        <v>358603.25202561129</v>
      </c>
      <c r="BB20" s="29" t="e">
        <f>(-C$51*Y20)^C$52</f>
        <v>#NUM!</v>
      </c>
      <c r="BC20" s="29" t="e">
        <f>C$54*(1+BB20)^(-C$53)</f>
        <v>#NUM!</v>
      </c>
      <c r="BD20" s="29" t="e">
        <f>C$54*C$51*(1-(BB20/(1+BB20))^C$53)</f>
        <v>#NUM!</v>
      </c>
      <c r="BE20" s="29">
        <f>C$54*C$51</f>
        <v>0</v>
      </c>
      <c r="BF20" s="5" t="e">
        <f>(-C$55*Y20)^C$56</f>
        <v>#NUM!</v>
      </c>
      <c r="BG20" s="29" t="e">
        <f>BC20+C$58*(1+BF20)^(-C$57)</f>
        <v>#NUM!</v>
      </c>
      <c r="BH20" s="29" t="e">
        <f>BD20+C$58*C$55*(1-(BF20/(1+BF20))^C$57)</f>
        <v>#NUM!</v>
      </c>
      <c r="BI20" s="29">
        <f>BE20+C$58*C$55</f>
        <v>0</v>
      </c>
      <c r="BJ20" s="30" t="e">
        <f>(-C$59*Y20)^C$60</f>
        <v>#NUM!</v>
      </c>
      <c r="BK20" s="29" t="e">
        <f>BG20+C$62*(1+BJ20)^(-C$61)</f>
        <v>#NUM!</v>
      </c>
      <c r="BL20" s="29" t="e">
        <f>BH20+C$62*C$59*(1-(BJ20/(1+BJ20))^C$61)</f>
        <v>#NUM!</v>
      </c>
      <c r="BM20" s="29">
        <f>BI20+C$62*C$59</f>
        <v>0</v>
      </c>
      <c r="BN20" s="5" t="e">
        <f>LOG((C$49*(BK20^C$50)*((BL20/BM20)^2)),10)</f>
        <v>#NUM!</v>
      </c>
      <c r="BO20" s="4">
        <f t="shared" si="30"/>
        <v>6.3</v>
      </c>
      <c r="BP20" s="4">
        <f t="shared" si="31"/>
        <v>-12.705533770000001</v>
      </c>
      <c r="BQ20">
        <f t="shared" si="32"/>
        <v>6.3</v>
      </c>
      <c r="BR20">
        <f t="shared" si="33"/>
        <v>-12.705533770000001</v>
      </c>
      <c r="BS20">
        <f t="shared" si="44"/>
        <v>1.9700000174113587E-13</v>
      </c>
      <c r="BT20" s="4">
        <f t="shared" si="34"/>
        <v>0.98537973930293465</v>
      </c>
      <c r="BU20" s="1">
        <f>BU19</f>
        <v>-10.78417936229042</v>
      </c>
    </row>
    <row r="21" spans="1:73" x14ac:dyDescent="0.2">
      <c r="A21" s="31">
        <v>4</v>
      </c>
      <c r="B21" s="11" t="s">
        <v>130</v>
      </c>
      <c r="C21" s="8">
        <f>INDEX(materials_HAMFEM!$C$4:$AU$55,interface!$C$12,A21)</f>
        <v>1000</v>
      </c>
      <c r="D21" s="47"/>
      <c r="X21" s="13">
        <v>1</v>
      </c>
      <c r="AY21">
        <f>AY20</f>
        <v>0</v>
      </c>
      <c r="AZ21" s="5">
        <f>AZ20</f>
        <v>804.6</v>
      </c>
      <c r="BA21" s="5">
        <f>BA20</f>
        <v>358603.25202561129</v>
      </c>
      <c r="BB21" s="29" t="e">
        <f>(-C$51*Y21)^C$52</f>
        <v>#NUM!</v>
      </c>
      <c r="BC21" s="29" t="e">
        <f>C$54*(1+BB21)^(-C$53)</f>
        <v>#NUM!</v>
      </c>
      <c r="BD21" s="29" t="e">
        <f>C$54*C$51*(1-(BB21/(1+BB21))^C$53)</f>
        <v>#NUM!</v>
      </c>
      <c r="BE21" s="29">
        <f>C$54*C$51</f>
        <v>0</v>
      </c>
      <c r="BF21" s="5" t="e">
        <f>(-C$55*Y21)^C$56</f>
        <v>#NUM!</v>
      </c>
      <c r="BG21" s="29" t="e">
        <f>BC21+C$58*(1+BF21)^(-C$57)</f>
        <v>#NUM!</v>
      </c>
      <c r="BH21" s="29" t="e">
        <f>BD21+C$58*C$55*(1-(BF21/(1+BF21))^C$57)</f>
        <v>#NUM!</v>
      </c>
      <c r="BI21" s="29">
        <f>BE21+C$58*C$55</f>
        <v>0</v>
      </c>
      <c r="BJ21" s="30" t="e">
        <f>(-C$59*Y21)^C$60</f>
        <v>#NUM!</v>
      </c>
      <c r="BK21" s="29" t="e">
        <f>BG21+C$62*(1+BJ21)^(-C$61)</f>
        <v>#NUM!</v>
      </c>
      <c r="BL21" s="29" t="e">
        <f>BH21+C$62*C$59*(1-(BJ21/(1+BJ21))^C$61)</f>
        <v>#NUM!</v>
      </c>
      <c r="BM21" s="29">
        <f>BI21+C$62*C$59</f>
        <v>0</v>
      </c>
      <c r="BN21" s="5" t="e">
        <f>LOG((C$49*(BK21^C$50)*((BL21/BM21)^2)),10)</f>
        <v>#NUM!</v>
      </c>
      <c r="BO21" s="4">
        <f t="shared" si="30"/>
        <v>6.4</v>
      </c>
      <c r="BP21" s="4">
        <f t="shared" si="31"/>
        <v>-12.991399830000001</v>
      </c>
      <c r="BQ21">
        <f t="shared" si="32"/>
        <v>6.4</v>
      </c>
      <c r="BR21">
        <f t="shared" si="33"/>
        <v>-12.991399830000001</v>
      </c>
      <c r="BS21">
        <f t="shared" si="44"/>
        <v>1.0199999958618925E-13</v>
      </c>
      <c r="BT21" s="4">
        <f t="shared" si="34"/>
        <v>0.98162914704511839</v>
      </c>
      <c r="BU21" s="1">
        <f>AX20</f>
        <v>1.643644148734682E-11</v>
      </c>
    </row>
    <row r="22" spans="1:73" x14ac:dyDescent="0.2">
      <c r="A22" s="31">
        <v>5</v>
      </c>
      <c r="B22" s="11" t="s">
        <v>131</v>
      </c>
      <c r="C22" s="8">
        <f>INDEX(materials_HAMFEM!$C$4:$AU$55,interface!$C$12,A22)</f>
        <v>0.06</v>
      </c>
      <c r="D22" s="47"/>
      <c r="X22" s="13">
        <v>1</v>
      </c>
      <c r="AY22">
        <f t="shared" ref="AY22:AY85" si="51">AY21</f>
        <v>0</v>
      </c>
      <c r="AZ22" s="5">
        <f t="shared" ref="AZ22:AZ85" si="52">AZ21</f>
        <v>804.6</v>
      </c>
      <c r="BA22" s="5">
        <f t="shared" ref="BA22:BA85" si="53">BA21</f>
        <v>358603.25202561129</v>
      </c>
      <c r="BB22" s="29" t="e">
        <f t="shared" ref="BB22:BB85" si="54">(-C$51*Y22)^C$52</f>
        <v>#NUM!</v>
      </c>
      <c r="BC22" s="29" t="e">
        <f t="shared" ref="BC22:BC85" si="55">C$54*(1+BB22)^(-C$53)</f>
        <v>#NUM!</v>
      </c>
      <c r="BD22" s="29" t="e">
        <f t="shared" ref="BD22:BD85" si="56">C$54*C$51*(1-(BB22/(1+BB22))^C$53)</f>
        <v>#NUM!</v>
      </c>
      <c r="BE22" s="29">
        <f t="shared" ref="BE22:BE85" si="57">C$54*C$51</f>
        <v>0</v>
      </c>
      <c r="BF22" s="5" t="e">
        <f t="shared" ref="BF22:BF85" si="58">(-C$55*Y22)^C$56</f>
        <v>#NUM!</v>
      </c>
      <c r="BG22" s="29" t="e">
        <f t="shared" ref="BG22:BG85" si="59">BC22+C$58*(1+BF22)^(-C$57)</f>
        <v>#NUM!</v>
      </c>
      <c r="BH22" s="29" t="e">
        <f t="shared" ref="BH22:BH85" si="60">BD22+C$58*C$55*(1-(BF22/(1+BF22))^C$57)</f>
        <v>#NUM!</v>
      </c>
      <c r="BI22" s="29">
        <f t="shared" ref="BI22:BI85" si="61">BE22+C$58*C$55</f>
        <v>0</v>
      </c>
      <c r="BJ22" s="30" t="e">
        <f t="shared" ref="BJ22:BJ85" si="62">(-C$59*Y22)^C$60</f>
        <v>#NUM!</v>
      </c>
      <c r="BK22" s="29" t="e">
        <f t="shared" ref="BK22:BK85" si="63">BG22+C$62*(1+BJ22)^(-C$61)</f>
        <v>#NUM!</v>
      </c>
      <c r="BL22" s="29" t="e">
        <f t="shared" ref="BL22:BL85" si="64">BH22+C$62*C$59*(1-(BJ22/(1+BJ22))^C$61)</f>
        <v>#NUM!</v>
      </c>
      <c r="BM22" s="29">
        <f t="shared" ref="BM22:BM85" si="65">BI22+C$62*C$59</f>
        <v>0</v>
      </c>
      <c r="BN22" s="5" t="e">
        <f t="shared" ref="BN22:BN85" si="66">LOG((C$49*(BK22^C$50)*((BL22/BM22)^2)),10)</f>
        <v>#NUM!</v>
      </c>
      <c r="BO22" s="4">
        <f t="shared" si="30"/>
        <v>6.5</v>
      </c>
      <c r="BP22" s="4">
        <f t="shared" si="31"/>
        <v>-13.25649024</v>
      </c>
      <c r="BQ22">
        <f t="shared" si="32"/>
        <v>6.5</v>
      </c>
      <c r="BR22">
        <f t="shared" si="33"/>
        <v>-13.25649024</v>
      </c>
      <c r="BS22">
        <f t="shared" si="44"/>
        <v>5.5399999396826131E-14</v>
      </c>
      <c r="BT22" s="4">
        <f t="shared" si="34"/>
        <v>0.97692772315762821</v>
      </c>
      <c r="BU22" s="1">
        <f t="shared" ref="BU22:BU84" si="67">BU21</f>
        <v>1.643644148734682E-11</v>
      </c>
    </row>
    <row r="23" spans="1:73" x14ac:dyDescent="0.2">
      <c r="A23" s="31">
        <v>6</v>
      </c>
      <c r="B23" s="11" t="s">
        <v>154</v>
      </c>
      <c r="C23" s="8">
        <f>INDEX(materials_HAMFEM!$C$4:$AU$55,interface!$C$12,A23)</f>
        <v>5.5999999999999995E-4</v>
      </c>
      <c r="D23" s="47"/>
      <c r="X23" s="13">
        <v>1</v>
      </c>
      <c r="AY23">
        <f t="shared" si="51"/>
        <v>0</v>
      </c>
      <c r="AZ23" s="5">
        <f t="shared" si="52"/>
        <v>804.6</v>
      </c>
      <c r="BA23" s="5">
        <f t="shared" si="53"/>
        <v>358603.25202561129</v>
      </c>
      <c r="BB23" s="29" t="e">
        <f t="shared" si="54"/>
        <v>#NUM!</v>
      </c>
      <c r="BC23" s="29" t="e">
        <f t="shared" si="55"/>
        <v>#NUM!</v>
      </c>
      <c r="BD23" s="29" t="e">
        <f t="shared" si="56"/>
        <v>#NUM!</v>
      </c>
      <c r="BE23" s="29">
        <f t="shared" si="57"/>
        <v>0</v>
      </c>
      <c r="BF23" s="5" t="e">
        <f t="shared" si="58"/>
        <v>#NUM!</v>
      </c>
      <c r="BG23" s="29" t="e">
        <f t="shared" si="59"/>
        <v>#NUM!</v>
      </c>
      <c r="BH23" s="29" t="e">
        <f t="shared" si="60"/>
        <v>#NUM!</v>
      </c>
      <c r="BI23" s="29">
        <f t="shared" si="61"/>
        <v>0</v>
      </c>
      <c r="BJ23" s="30" t="e">
        <f t="shared" si="62"/>
        <v>#NUM!</v>
      </c>
      <c r="BK23" s="29" t="e">
        <f t="shared" si="63"/>
        <v>#NUM!</v>
      </c>
      <c r="BL23" s="29" t="e">
        <f t="shared" si="64"/>
        <v>#NUM!</v>
      </c>
      <c r="BM23" s="29">
        <f t="shared" si="65"/>
        <v>0</v>
      </c>
      <c r="BN23" s="5" t="e">
        <f t="shared" si="66"/>
        <v>#NUM!</v>
      </c>
      <c r="BO23" s="4">
        <f t="shared" si="30"/>
        <v>6.6</v>
      </c>
      <c r="BP23" s="4">
        <f t="shared" si="31"/>
        <v>-13.50445566</v>
      </c>
      <c r="BQ23">
        <f t="shared" si="32"/>
        <v>6.6</v>
      </c>
      <c r="BR23">
        <f t="shared" si="33"/>
        <v>-13.50445566</v>
      </c>
      <c r="BS23">
        <f t="shared" si="44"/>
        <v>3.1300000176829606E-14</v>
      </c>
      <c r="BT23" s="4">
        <f t="shared" si="34"/>
        <v>0.97104098510158643</v>
      </c>
      <c r="BU23" s="1">
        <f t="shared" si="67"/>
        <v>1.643644148734682E-11</v>
      </c>
    </row>
    <row r="24" spans="1:73" x14ac:dyDescent="0.2">
      <c r="A24" s="31">
        <v>7</v>
      </c>
      <c r="B24" s="11" t="s">
        <v>132</v>
      </c>
      <c r="C24" s="8">
        <f>INDEX(materials_HAMFEM!$C$4:$AU$55,interface!$C$12,A24)</f>
        <v>894</v>
      </c>
      <c r="D24" s="47"/>
      <c r="X24" s="13">
        <v>1</v>
      </c>
      <c r="AY24">
        <f t="shared" si="51"/>
        <v>0</v>
      </c>
      <c r="AZ24" s="5">
        <f t="shared" si="52"/>
        <v>804.6</v>
      </c>
      <c r="BA24" s="5">
        <f t="shared" si="53"/>
        <v>358603.25202561129</v>
      </c>
      <c r="BB24" s="29" t="e">
        <f t="shared" si="54"/>
        <v>#NUM!</v>
      </c>
      <c r="BC24" s="29" t="e">
        <f t="shared" si="55"/>
        <v>#NUM!</v>
      </c>
      <c r="BD24" s="29" t="e">
        <f t="shared" si="56"/>
        <v>#NUM!</v>
      </c>
      <c r="BE24" s="29">
        <f t="shared" si="57"/>
        <v>0</v>
      </c>
      <c r="BF24" s="5" t="e">
        <f t="shared" si="58"/>
        <v>#NUM!</v>
      </c>
      <c r="BG24" s="29" t="e">
        <f t="shared" si="59"/>
        <v>#NUM!</v>
      </c>
      <c r="BH24" s="29" t="e">
        <f t="shared" si="60"/>
        <v>#NUM!</v>
      </c>
      <c r="BI24" s="29">
        <f t="shared" si="61"/>
        <v>0</v>
      </c>
      <c r="BJ24" s="30" t="e">
        <f t="shared" si="62"/>
        <v>#NUM!</v>
      </c>
      <c r="BK24" s="29" t="e">
        <f t="shared" si="63"/>
        <v>#NUM!</v>
      </c>
      <c r="BL24" s="29" t="e">
        <f t="shared" si="64"/>
        <v>#NUM!</v>
      </c>
      <c r="BM24" s="29">
        <f t="shared" si="65"/>
        <v>0</v>
      </c>
      <c r="BN24" s="5" t="e">
        <f t="shared" si="66"/>
        <v>#NUM!</v>
      </c>
      <c r="BO24" s="4">
        <f t="shared" si="30"/>
        <v>6.7</v>
      </c>
      <c r="BP24" s="4">
        <f t="shared" si="31"/>
        <v>-13.73992861</v>
      </c>
      <c r="BQ24">
        <f t="shared" si="32"/>
        <v>6.7</v>
      </c>
      <c r="BR24">
        <f t="shared" si="33"/>
        <v>-13.73992861</v>
      </c>
      <c r="BS24">
        <f t="shared" si="44"/>
        <v>1.8200000084439536E-14</v>
      </c>
      <c r="BT24" s="4">
        <f t="shared" si="34"/>
        <v>0.96368043282854532</v>
      </c>
      <c r="BU24" s="1">
        <f t="shared" si="67"/>
        <v>1.643644148734682E-11</v>
      </c>
    </row>
    <row r="25" spans="1:73" x14ac:dyDescent="0.2">
      <c r="A25" s="31">
        <v>8</v>
      </c>
      <c r="B25" s="11" t="s">
        <v>133</v>
      </c>
      <c r="C25" s="8">
        <f>INDEX(materials_HAMFEM!$C$4:$AU$55,interface!$C$12,A25)</f>
        <v>0.5</v>
      </c>
      <c r="D25" s="47"/>
      <c r="X25" s="13">
        <v>1</v>
      </c>
      <c r="AY25">
        <f t="shared" si="51"/>
        <v>0</v>
      </c>
      <c r="AZ25" s="5">
        <f t="shared" si="52"/>
        <v>804.6</v>
      </c>
      <c r="BA25" s="5">
        <f t="shared" si="53"/>
        <v>358603.25202561129</v>
      </c>
      <c r="BB25" s="29" t="e">
        <f t="shared" si="54"/>
        <v>#NUM!</v>
      </c>
      <c r="BC25" s="29" t="e">
        <f t="shared" si="55"/>
        <v>#NUM!</v>
      </c>
      <c r="BD25" s="29" t="e">
        <f t="shared" si="56"/>
        <v>#NUM!</v>
      </c>
      <c r="BE25" s="29">
        <f t="shared" si="57"/>
        <v>0</v>
      </c>
      <c r="BF25" s="5" t="e">
        <f t="shared" si="58"/>
        <v>#NUM!</v>
      </c>
      <c r="BG25" s="29" t="e">
        <f t="shared" si="59"/>
        <v>#NUM!</v>
      </c>
      <c r="BH25" s="29" t="e">
        <f t="shared" si="60"/>
        <v>#NUM!</v>
      </c>
      <c r="BI25" s="29">
        <f t="shared" si="61"/>
        <v>0</v>
      </c>
      <c r="BJ25" s="30" t="e">
        <f t="shared" si="62"/>
        <v>#NUM!</v>
      </c>
      <c r="BK25" s="29" t="e">
        <f t="shared" si="63"/>
        <v>#NUM!</v>
      </c>
      <c r="BL25" s="29" t="e">
        <f t="shared" si="64"/>
        <v>#NUM!</v>
      </c>
      <c r="BM25" s="29">
        <f t="shared" si="65"/>
        <v>0</v>
      </c>
      <c r="BN25" s="5" t="e">
        <f t="shared" si="66"/>
        <v>#NUM!</v>
      </c>
      <c r="BO25" s="4">
        <f t="shared" si="30"/>
        <v>6.8</v>
      </c>
      <c r="BP25" s="4">
        <f t="shared" si="31"/>
        <v>-13.96657624</v>
      </c>
      <c r="BQ25">
        <f t="shared" si="32"/>
        <v>6.8</v>
      </c>
      <c r="BR25">
        <f t="shared" si="33"/>
        <v>-13.96657624</v>
      </c>
      <c r="BS25">
        <f t="shared" si="44"/>
        <v>1.0800000112230153E-14</v>
      </c>
      <c r="BT25" s="4">
        <f t="shared" si="34"/>
        <v>0.95449332778252816</v>
      </c>
      <c r="BU25" s="1">
        <f t="shared" si="67"/>
        <v>1.643644148734682E-11</v>
      </c>
    </row>
    <row r="26" spans="1:73" x14ac:dyDescent="0.2">
      <c r="A26" s="31">
        <v>9</v>
      </c>
      <c r="B26" s="12" t="s">
        <v>8</v>
      </c>
      <c r="C26">
        <f>INDEX(materials_HAMFEM!$C$4:$AU$55,interface!$C$12,A26)</f>
        <v>1</v>
      </c>
      <c r="X26" s="13">
        <v>1</v>
      </c>
      <c r="AG26" s="4"/>
      <c r="AH26" s="29"/>
      <c r="AY26">
        <f t="shared" si="51"/>
        <v>0</v>
      </c>
      <c r="AZ26" s="5">
        <f t="shared" si="52"/>
        <v>804.6</v>
      </c>
      <c r="BA26" s="5">
        <f t="shared" si="53"/>
        <v>358603.25202561129</v>
      </c>
      <c r="BB26" s="29" t="e">
        <f t="shared" si="54"/>
        <v>#NUM!</v>
      </c>
      <c r="BC26" s="29" t="e">
        <f t="shared" si="55"/>
        <v>#NUM!</v>
      </c>
      <c r="BD26" s="29" t="e">
        <f t="shared" si="56"/>
        <v>#NUM!</v>
      </c>
      <c r="BE26" s="29">
        <f t="shared" si="57"/>
        <v>0</v>
      </c>
      <c r="BF26" s="5" t="e">
        <f t="shared" si="58"/>
        <v>#NUM!</v>
      </c>
      <c r="BG26" s="29" t="e">
        <f t="shared" si="59"/>
        <v>#NUM!</v>
      </c>
      <c r="BH26" s="29" t="e">
        <f t="shared" si="60"/>
        <v>#NUM!</v>
      </c>
      <c r="BI26" s="29">
        <f t="shared" si="61"/>
        <v>0</v>
      </c>
      <c r="BJ26" s="30" t="e">
        <f t="shared" si="62"/>
        <v>#NUM!</v>
      </c>
      <c r="BK26" s="29" t="e">
        <f t="shared" si="63"/>
        <v>#NUM!</v>
      </c>
      <c r="BL26" s="29" t="e">
        <f t="shared" si="64"/>
        <v>#NUM!</v>
      </c>
      <c r="BM26" s="29">
        <f t="shared" si="65"/>
        <v>0</v>
      </c>
      <c r="BN26" s="5" t="e">
        <f t="shared" si="66"/>
        <v>#NUM!</v>
      </c>
      <c r="BO26" s="4">
        <f t="shared" si="30"/>
        <v>6.9</v>
      </c>
      <c r="BP26" s="4">
        <f t="shared" si="31"/>
        <v>-14.187755299999999</v>
      </c>
      <c r="BQ26">
        <f t="shared" si="32"/>
        <v>6.9</v>
      </c>
      <c r="BR26">
        <f t="shared" si="33"/>
        <v>-14.187755299999999</v>
      </c>
      <c r="BS26">
        <f t="shared" si="44"/>
        <v>6.4900000478145494E-15</v>
      </c>
      <c r="BT26" s="4">
        <f t="shared" si="34"/>
        <v>0.94305188150264729</v>
      </c>
      <c r="BU26" s="1">
        <f t="shared" si="67"/>
        <v>1.643644148734682E-11</v>
      </c>
    </row>
    <row r="27" spans="1:73" x14ac:dyDescent="0.2">
      <c r="A27" s="31">
        <v>10</v>
      </c>
      <c r="B27" t="s">
        <v>9</v>
      </c>
      <c r="C27">
        <f>INDEX(materials_HAMFEM!$C$4:$AU$55,interface!$C$12,A27)</f>
        <v>2.6100000000000001E-5</v>
      </c>
      <c r="X27" s="13">
        <v>1</v>
      </c>
      <c r="AG27" s="29"/>
      <c r="AY27">
        <f t="shared" si="51"/>
        <v>0</v>
      </c>
      <c r="AZ27" s="5">
        <f t="shared" si="52"/>
        <v>804.6</v>
      </c>
      <c r="BA27" s="5">
        <f t="shared" si="53"/>
        <v>358603.25202561129</v>
      </c>
      <c r="BB27" s="29" t="e">
        <f t="shared" si="54"/>
        <v>#NUM!</v>
      </c>
      <c r="BC27" s="29" t="e">
        <f t="shared" si="55"/>
        <v>#NUM!</v>
      </c>
      <c r="BD27" s="29" t="e">
        <f t="shared" si="56"/>
        <v>#NUM!</v>
      </c>
      <c r="BE27" s="29">
        <f t="shared" si="57"/>
        <v>0</v>
      </c>
      <c r="BF27" s="5" t="e">
        <f t="shared" si="58"/>
        <v>#NUM!</v>
      </c>
      <c r="BG27" s="29" t="e">
        <f t="shared" si="59"/>
        <v>#NUM!</v>
      </c>
      <c r="BH27" s="29" t="e">
        <f t="shared" si="60"/>
        <v>#NUM!</v>
      </c>
      <c r="BI27" s="29">
        <f t="shared" si="61"/>
        <v>0</v>
      </c>
      <c r="BJ27" s="30" t="e">
        <f t="shared" si="62"/>
        <v>#NUM!</v>
      </c>
      <c r="BK27" s="29" t="e">
        <f t="shared" si="63"/>
        <v>#NUM!</v>
      </c>
      <c r="BL27" s="29" t="e">
        <f t="shared" si="64"/>
        <v>#NUM!</v>
      </c>
      <c r="BM27" s="29">
        <f t="shared" si="65"/>
        <v>0</v>
      </c>
      <c r="BN27" s="5" t="e">
        <f t="shared" si="66"/>
        <v>#NUM!</v>
      </c>
      <c r="BO27" s="4">
        <f t="shared" si="30"/>
        <v>7</v>
      </c>
      <c r="BP27" s="4">
        <f t="shared" si="31"/>
        <v>-14.401209489999999</v>
      </c>
      <c r="BQ27">
        <f t="shared" si="32"/>
        <v>7</v>
      </c>
      <c r="BR27">
        <f t="shared" si="33"/>
        <v>-14.401209489999999</v>
      </c>
      <c r="BS27">
        <f t="shared" si="44"/>
        <v>3.9700000295892041E-15</v>
      </c>
      <c r="BT27" s="4">
        <f t="shared" si="34"/>
        <v>0.92884276361090323</v>
      </c>
      <c r="BU27" s="1">
        <f t="shared" si="67"/>
        <v>1.643644148734682E-11</v>
      </c>
    </row>
    <row r="28" spans="1:73" x14ac:dyDescent="0.2">
      <c r="A28" s="31">
        <v>11</v>
      </c>
      <c r="B28" t="s">
        <v>10</v>
      </c>
      <c r="C28">
        <f>INDEX(materials_HAMFEM!$C$4:$AU$55,interface!$C$12,A28)</f>
        <v>5.6</v>
      </c>
      <c r="X28" s="13">
        <v>1</v>
      </c>
      <c r="AY28">
        <f t="shared" si="51"/>
        <v>0</v>
      </c>
      <c r="AZ28" s="5">
        <f t="shared" si="52"/>
        <v>804.6</v>
      </c>
      <c r="BA28" s="5">
        <f t="shared" si="53"/>
        <v>358603.25202561129</v>
      </c>
      <c r="BB28" s="29" t="e">
        <f t="shared" si="54"/>
        <v>#NUM!</v>
      </c>
      <c r="BC28" s="29" t="e">
        <f t="shared" si="55"/>
        <v>#NUM!</v>
      </c>
      <c r="BD28" s="29" t="e">
        <f t="shared" si="56"/>
        <v>#NUM!</v>
      </c>
      <c r="BE28" s="29">
        <f t="shared" si="57"/>
        <v>0</v>
      </c>
      <c r="BF28" s="5" t="e">
        <f t="shared" si="58"/>
        <v>#NUM!</v>
      </c>
      <c r="BG28" s="29" t="e">
        <f t="shared" si="59"/>
        <v>#NUM!</v>
      </c>
      <c r="BH28" s="29" t="e">
        <f t="shared" si="60"/>
        <v>#NUM!</v>
      </c>
      <c r="BI28" s="29">
        <f t="shared" si="61"/>
        <v>0</v>
      </c>
      <c r="BJ28" s="30" t="e">
        <f t="shared" si="62"/>
        <v>#NUM!</v>
      </c>
      <c r="BK28" s="29" t="e">
        <f t="shared" si="63"/>
        <v>#NUM!</v>
      </c>
      <c r="BL28" s="29" t="e">
        <f t="shared" si="64"/>
        <v>#NUM!</v>
      </c>
      <c r="BM28" s="29">
        <f t="shared" si="65"/>
        <v>0</v>
      </c>
      <c r="BN28" s="5" t="e">
        <f t="shared" si="66"/>
        <v>#NUM!</v>
      </c>
      <c r="BO28" s="4">
        <f t="shared" si="30"/>
        <v>7.0599285099999998</v>
      </c>
      <c r="BP28" s="4">
        <f t="shared" si="31"/>
        <v>-14.44838395</v>
      </c>
      <c r="BQ28">
        <f t="shared" si="32"/>
        <v>7.0599285099999998</v>
      </c>
      <c r="BR28">
        <f t="shared" si="33"/>
        <v>-14.44838395</v>
      </c>
      <c r="BS28">
        <f t="shared" si="44"/>
        <v>3.5613614224160432E-15</v>
      </c>
      <c r="BT28" s="4">
        <f t="shared" si="34"/>
        <v>0.91875302391994318</v>
      </c>
      <c r="BU28" s="1">
        <f t="shared" si="67"/>
        <v>1.643644148734682E-11</v>
      </c>
    </row>
    <row r="29" spans="1:73" x14ac:dyDescent="0.2">
      <c r="A29" s="31">
        <v>12</v>
      </c>
      <c r="B29" t="s">
        <v>11</v>
      </c>
      <c r="C29">
        <f>INDEX(materials_HAMFEM!$C$4:$AU$55,interface!$C$12,A29)</f>
        <v>0.8</v>
      </c>
      <c r="X29" s="13">
        <v>1</v>
      </c>
      <c r="AX29" t="s">
        <v>112</v>
      </c>
      <c r="AY29">
        <f t="shared" si="51"/>
        <v>0</v>
      </c>
      <c r="AZ29" s="5">
        <f t="shared" si="52"/>
        <v>804.6</v>
      </c>
      <c r="BA29" s="5">
        <f t="shared" si="53"/>
        <v>358603.25202561129</v>
      </c>
      <c r="BB29" s="29" t="e">
        <f t="shared" si="54"/>
        <v>#NUM!</v>
      </c>
      <c r="BC29" s="29" t="e">
        <f t="shared" si="55"/>
        <v>#NUM!</v>
      </c>
      <c r="BD29" s="29" t="e">
        <f t="shared" si="56"/>
        <v>#NUM!</v>
      </c>
      <c r="BE29" s="29">
        <f t="shared" si="57"/>
        <v>0</v>
      </c>
      <c r="BF29" s="5" t="e">
        <f t="shared" si="58"/>
        <v>#NUM!</v>
      </c>
      <c r="BG29" s="29" t="e">
        <f t="shared" si="59"/>
        <v>#NUM!</v>
      </c>
      <c r="BH29" s="29" t="e">
        <f t="shared" si="60"/>
        <v>#NUM!</v>
      </c>
      <c r="BI29" s="29">
        <f t="shared" si="61"/>
        <v>0</v>
      </c>
      <c r="BJ29" s="30" t="e">
        <f t="shared" si="62"/>
        <v>#NUM!</v>
      </c>
      <c r="BK29" s="29" t="e">
        <f t="shared" si="63"/>
        <v>#NUM!</v>
      </c>
      <c r="BL29" s="29" t="e">
        <f t="shared" si="64"/>
        <v>#NUM!</v>
      </c>
      <c r="BM29" s="29">
        <f t="shared" si="65"/>
        <v>0</v>
      </c>
      <c r="BN29" s="5" t="e">
        <f t="shared" si="66"/>
        <v>#NUM!</v>
      </c>
      <c r="BO29" s="4">
        <f t="shared" si="30"/>
        <v>7.6911308399999996</v>
      </c>
      <c r="BP29" s="4">
        <f t="shared" si="31"/>
        <v>-15.3539636</v>
      </c>
      <c r="BQ29">
        <f t="shared" si="32"/>
        <v>7.6911308399999996</v>
      </c>
      <c r="BR29">
        <f t="shared" si="33"/>
        <v>-15.3539636</v>
      </c>
      <c r="BS29">
        <f t="shared" si="44"/>
        <v>4.4262546906215915E-16</v>
      </c>
      <c r="BT29" s="4">
        <f t="shared" si="34"/>
        <v>0.69595045834973768</v>
      </c>
      <c r="BU29" s="1">
        <f t="shared" si="67"/>
        <v>1.643644148734682E-11</v>
      </c>
    </row>
    <row r="30" spans="1:73" x14ac:dyDescent="0.2">
      <c r="A30" s="31">
        <v>13</v>
      </c>
      <c r="B30" t="s">
        <v>12</v>
      </c>
      <c r="C30">
        <f>INDEX(materials_HAMFEM!$C$4:$AU$55,interface!$C$12,A30)</f>
        <v>0.2</v>
      </c>
      <c r="X30" s="13">
        <v>1</v>
      </c>
      <c r="AX30" t="s">
        <v>106</v>
      </c>
      <c r="AY30">
        <f t="shared" si="51"/>
        <v>0</v>
      </c>
      <c r="AZ30" s="5">
        <f t="shared" si="52"/>
        <v>804.6</v>
      </c>
      <c r="BA30" s="5">
        <f t="shared" si="53"/>
        <v>358603.25202561129</v>
      </c>
      <c r="BB30" s="29" t="e">
        <f t="shared" si="54"/>
        <v>#NUM!</v>
      </c>
      <c r="BC30" s="29" t="e">
        <f t="shared" si="55"/>
        <v>#NUM!</v>
      </c>
      <c r="BD30" s="29" t="e">
        <f t="shared" si="56"/>
        <v>#NUM!</v>
      </c>
      <c r="BE30" s="29">
        <f t="shared" si="57"/>
        <v>0</v>
      </c>
      <c r="BF30" s="5" t="e">
        <f t="shared" si="58"/>
        <v>#NUM!</v>
      </c>
      <c r="BG30" s="29" t="e">
        <f t="shared" si="59"/>
        <v>#NUM!</v>
      </c>
      <c r="BH30" s="29" t="e">
        <f t="shared" si="60"/>
        <v>#NUM!</v>
      </c>
      <c r="BI30" s="29">
        <f t="shared" si="61"/>
        <v>0</v>
      </c>
      <c r="BJ30" s="30" t="e">
        <f t="shared" si="62"/>
        <v>#NUM!</v>
      </c>
      <c r="BK30" s="29" t="e">
        <f t="shared" si="63"/>
        <v>#NUM!</v>
      </c>
      <c r="BL30" s="29" t="e">
        <f t="shared" si="64"/>
        <v>#NUM!</v>
      </c>
      <c r="BM30" s="29">
        <f t="shared" si="65"/>
        <v>0</v>
      </c>
      <c r="BN30" s="5" t="e">
        <f t="shared" si="66"/>
        <v>#NUM!</v>
      </c>
      <c r="BO30" s="4">
        <f t="shared" si="30"/>
        <v>8.2194749199999997</v>
      </c>
      <c r="BP30" s="4">
        <f t="shared" si="31"/>
        <v>-15.77711152</v>
      </c>
      <c r="BQ30">
        <f t="shared" si="32"/>
        <v>8.2194749199999997</v>
      </c>
      <c r="BR30">
        <f t="shared" si="33"/>
        <v>-15.77711152</v>
      </c>
      <c r="BS30">
        <f t="shared" si="44"/>
        <v>1.6706615595841093E-16</v>
      </c>
      <c r="BT30" s="4">
        <f t="shared" si="34"/>
        <v>0.29418182304666912</v>
      </c>
      <c r="BU30" s="1">
        <f t="shared" si="67"/>
        <v>1.643644148734682E-11</v>
      </c>
    </row>
    <row r="31" spans="1:73" x14ac:dyDescent="0.2">
      <c r="A31" s="31">
        <v>14</v>
      </c>
      <c r="B31" s="6" t="s">
        <v>13</v>
      </c>
      <c r="C31" s="6">
        <f>INDEX(materials_HAMFEM!$C$4:$AU$55,interface!$C$12,A31)</f>
        <v>0</v>
      </c>
      <c r="X31" s="13">
        <v>1</v>
      </c>
      <c r="AX31" t="s">
        <v>106</v>
      </c>
      <c r="AY31">
        <f t="shared" si="51"/>
        <v>0</v>
      </c>
      <c r="AZ31" s="5">
        <f t="shared" si="52"/>
        <v>804.6</v>
      </c>
      <c r="BA31" s="5">
        <f t="shared" si="53"/>
        <v>358603.25202561129</v>
      </c>
      <c r="BB31" s="29" t="e">
        <f t="shared" si="54"/>
        <v>#NUM!</v>
      </c>
      <c r="BC31" s="29" t="e">
        <f t="shared" si="55"/>
        <v>#NUM!</v>
      </c>
      <c r="BD31" s="29" t="e">
        <f t="shared" si="56"/>
        <v>#NUM!</v>
      </c>
      <c r="BE31" s="29">
        <f t="shared" si="57"/>
        <v>0</v>
      </c>
      <c r="BF31" s="5" t="e">
        <f t="shared" si="58"/>
        <v>#NUM!</v>
      </c>
      <c r="BG31" s="29" t="e">
        <f t="shared" si="59"/>
        <v>#NUM!</v>
      </c>
      <c r="BH31" s="29" t="e">
        <f t="shared" si="60"/>
        <v>#NUM!</v>
      </c>
      <c r="BI31" s="29">
        <f t="shared" si="61"/>
        <v>0</v>
      </c>
      <c r="BJ31" s="30" t="e">
        <f t="shared" si="62"/>
        <v>#NUM!</v>
      </c>
      <c r="BK31" s="29" t="e">
        <f t="shared" si="63"/>
        <v>#NUM!</v>
      </c>
      <c r="BL31" s="29" t="e">
        <f t="shared" si="64"/>
        <v>#NUM!</v>
      </c>
      <c r="BM31" s="29">
        <f t="shared" si="65"/>
        <v>0</v>
      </c>
      <c r="BN31" s="5" t="e">
        <f t="shared" si="66"/>
        <v>#NUM!</v>
      </c>
      <c r="BO31" s="4">
        <f t="shared" si="30"/>
        <v>8.2194749199999997</v>
      </c>
      <c r="BP31" s="4">
        <f t="shared" si="31"/>
        <v>-15.77711152</v>
      </c>
      <c r="BQ31">
        <f t="shared" si="32"/>
        <v>8.2194749199999997</v>
      </c>
      <c r="BR31">
        <f t="shared" si="33"/>
        <v>-15.77711152</v>
      </c>
      <c r="BS31">
        <f t="shared" si="44"/>
        <v>1.6706615595841093E-16</v>
      </c>
      <c r="BT31" s="4">
        <f t="shared" si="34"/>
        <v>0.29418182304666912</v>
      </c>
      <c r="BU31" s="1">
        <f t="shared" si="67"/>
        <v>1.643644148734682E-11</v>
      </c>
    </row>
    <row r="32" spans="1:73" x14ac:dyDescent="0.2">
      <c r="A32" s="31">
        <v>15</v>
      </c>
      <c r="B32" s="6" t="s">
        <v>14</v>
      </c>
      <c r="C32" s="6">
        <f>INDEX(materials_HAMFEM!$C$4:$AU$55,interface!$C$12,A32)</f>
        <v>0</v>
      </c>
      <c r="X32" s="13">
        <v>1</v>
      </c>
      <c r="AY32">
        <f t="shared" si="51"/>
        <v>0</v>
      </c>
      <c r="AZ32" s="5">
        <f t="shared" si="52"/>
        <v>804.6</v>
      </c>
      <c r="BA32" s="5">
        <f t="shared" si="53"/>
        <v>358603.25202561129</v>
      </c>
      <c r="BB32" s="29" t="e">
        <f t="shared" si="54"/>
        <v>#NUM!</v>
      </c>
      <c r="BC32" s="29" t="e">
        <f t="shared" si="55"/>
        <v>#NUM!</v>
      </c>
      <c r="BD32" s="29" t="e">
        <f t="shared" si="56"/>
        <v>#NUM!</v>
      </c>
      <c r="BE32" s="29">
        <f t="shared" si="57"/>
        <v>0</v>
      </c>
      <c r="BF32" s="5" t="e">
        <f t="shared" si="58"/>
        <v>#NUM!</v>
      </c>
      <c r="BG32" s="29" t="e">
        <f t="shared" si="59"/>
        <v>#NUM!</v>
      </c>
      <c r="BH32" s="29" t="e">
        <f t="shared" si="60"/>
        <v>#NUM!</v>
      </c>
      <c r="BI32" s="29">
        <f t="shared" si="61"/>
        <v>0</v>
      </c>
      <c r="BJ32" s="30" t="e">
        <f t="shared" si="62"/>
        <v>#NUM!</v>
      </c>
      <c r="BK32" s="29" t="e">
        <f t="shared" si="63"/>
        <v>#NUM!</v>
      </c>
      <c r="BL32" s="29" t="e">
        <f t="shared" si="64"/>
        <v>#NUM!</v>
      </c>
      <c r="BM32" s="29">
        <f t="shared" si="65"/>
        <v>0</v>
      </c>
      <c r="BN32" s="5" t="e">
        <f t="shared" si="66"/>
        <v>#NUM!</v>
      </c>
      <c r="BO32" s="4">
        <f t="shared" si="30"/>
        <v>8.2194749199999997</v>
      </c>
      <c r="BP32" s="4">
        <f t="shared" si="31"/>
        <v>-15.77711152</v>
      </c>
      <c r="BQ32">
        <f t="shared" si="32"/>
        <v>8.2194749199999997</v>
      </c>
      <c r="BR32">
        <f t="shared" si="33"/>
        <v>-15.77711152</v>
      </c>
      <c r="BS32">
        <f t="shared" si="44"/>
        <v>1.6706615595841093E-16</v>
      </c>
      <c r="BT32" s="4">
        <f t="shared" si="34"/>
        <v>0.29418182304666912</v>
      </c>
      <c r="BU32" s="1">
        <f t="shared" si="67"/>
        <v>1.643644148734682E-11</v>
      </c>
    </row>
    <row r="33" spans="1:73" x14ac:dyDescent="0.2">
      <c r="A33" s="31">
        <v>16</v>
      </c>
      <c r="B33" s="6" t="s">
        <v>15</v>
      </c>
      <c r="C33" s="6">
        <f>INDEX(materials_HAMFEM!$C$4:$AU$55,interface!$C$12,A33)</f>
        <v>3</v>
      </c>
      <c r="X33" s="13">
        <v>1</v>
      </c>
      <c r="AY33">
        <f t="shared" si="51"/>
        <v>0</v>
      </c>
      <c r="AZ33" s="5">
        <f t="shared" si="52"/>
        <v>804.6</v>
      </c>
      <c r="BA33" s="5">
        <f t="shared" si="53"/>
        <v>358603.25202561129</v>
      </c>
      <c r="BB33" s="29" t="e">
        <f t="shared" si="54"/>
        <v>#NUM!</v>
      </c>
      <c r="BC33" s="29" t="e">
        <f t="shared" si="55"/>
        <v>#NUM!</v>
      </c>
      <c r="BD33" s="29" t="e">
        <f t="shared" si="56"/>
        <v>#NUM!</v>
      </c>
      <c r="BE33" s="29">
        <f t="shared" si="57"/>
        <v>0</v>
      </c>
      <c r="BF33" s="5" t="e">
        <f t="shared" si="58"/>
        <v>#NUM!</v>
      </c>
      <c r="BG33" s="29" t="e">
        <f t="shared" si="59"/>
        <v>#NUM!</v>
      </c>
      <c r="BH33" s="29" t="e">
        <f t="shared" si="60"/>
        <v>#NUM!</v>
      </c>
      <c r="BI33" s="29">
        <f t="shared" si="61"/>
        <v>0</v>
      </c>
      <c r="BJ33" s="30" t="e">
        <f t="shared" si="62"/>
        <v>#NUM!</v>
      </c>
      <c r="BK33" s="29" t="e">
        <f t="shared" si="63"/>
        <v>#NUM!</v>
      </c>
      <c r="BL33" s="29" t="e">
        <f t="shared" si="64"/>
        <v>#NUM!</v>
      </c>
      <c r="BM33" s="29">
        <f t="shared" si="65"/>
        <v>0</v>
      </c>
      <c r="BN33" s="5" t="e">
        <f t="shared" si="66"/>
        <v>#NUM!</v>
      </c>
      <c r="BO33" s="4">
        <f t="shared" si="30"/>
        <v>8.2194749199999997</v>
      </c>
      <c r="BP33" s="4">
        <f t="shared" si="31"/>
        <v>-15.77711152</v>
      </c>
      <c r="BQ33">
        <f t="shared" si="32"/>
        <v>8.2194749199999997</v>
      </c>
      <c r="BR33">
        <f t="shared" si="33"/>
        <v>-15.77711152</v>
      </c>
      <c r="BS33">
        <f t="shared" si="44"/>
        <v>1.6706615595841093E-16</v>
      </c>
      <c r="BT33" s="4">
        <f t="shared" si="34"/>
        <v>0.29418182304666912</v>
      </c>
      <c r="BU33" s="1">
        <f t="shared" si="67"/>
        <v>1.643644148734682E-11</v>
      </c>
    </row>
    <row r="34" spans="1:73" x14ac:dyDescent="0.2">
      <c r="A34" s="31">
        <v>17</v>
      </c>
      <c r="B34" s="2" t="s">
        <v>16</v>
      </c>
      <c r="C34" s="7">
        <f>INDEX(materials_HAMFEM!$C$4:$AU$55,interface!$C$12,A34)</f>
        <v>-2.4600000000000002E-6</v>
      </c>
      <c r="D34" s="48"/>
      <c r="X34" s="13">
        <v>1</v>
      </c>
      <c r="AY34">
        <f t="shared" si="51"/>
        <v>0</v>
      </c>
      <c r="AZ34" s="5">
        <f t="shared" si="52"/>
        <v>804.6</v>
      </c>
      <c r="BA34" s="5">
        <f t="shared" si="53"/>
        <v>358603.25202561129</v>
      </c>
      <c r="BB34" s="29" t="e">
        <f t="shared" si="54"/>
        <v>#NUM!</v>
      </c>
      <c r="BC34" s="29" t="e">
        <f t="shared" si="55"/>
        <v>#NUM!</v>
      </c>
      <c r="BD34" s="29" t="e">
        <f t="shared" si="56"/>
        <v>#NUM!</v>
      </c>
      <c r="BE34" s="29">
        <f t="shared" si="57"/>
        <v>0</v>
      </c>
      <c r="BF34" s="5" t="e">
        <f t="shared" si="58"/>
        <v>#NUM!</v>
      </c>
      <c r="BG34" s="29" t="e">
        <f t="shared" si="59"/>
        <v>#NUM!</v>
      </c>
      <c r="BH34" s="29" t="e">
        <f t="shared" si="60"/>
        <v>#NUM!</v>
      </c>
      <c r="BI34" s="29">
        <f t="shared" si="61"/>
        <v>0</v>
      </c>
      <c r="BJ34" s="30" t="e">
        <f t="shared" si="62"/>
        <v>#NUM!</v>
      </c>
      <c r="BK34" s="29" t="e">
        <f t="shared" si="63"/>
        <v>#NUM!</v>
      </c>
      <c r="BL34" s="29" t="e">
        <f t="shared" si="64"/>
        <v>#NUM!</v>
      </c>
      <c r="BM34" s="29">
        <f t="shared" si="65"/>
        <v>0</v>
      </c>
      <c r="BN34" s="5" t="e">
        <f t="shared" si="66"/>
        <v>#NUM!</v>
      </c>
      <c r="BO34" s="4">
        <f t="shared" si="30"/>
        <v>8.2194749199999997</v>
      </c>
      <c r="BP34" s="4">
        <f t="shared" si="31"/>
        <v>-15.77711152</v>
      </c>
      <c r="BQ34">
        <f t="shared" si="32"/>
        <v>8.2194749199999997</v>
      </c>
      <c r="BR34">
        <f t="shared" si="33"/>
        <v>-15.77711152</v>
      </c>
      <c r="BS34">
        <f t="shared" si="44"/>
        <v>1.6706615595841093E-16</v>
      </c>
      <c r="BT34" s="4">
        <f t="shared" si="34"/>
        <v>0.29418182304666912</v>
      </c>
      <c r="BU34" s="1">
        <f t="shared" si="67"/>
        <v>1.643644148734682E-11</v>
      </c>
    </row>
    <row r="35" spans="1:73" x14ac:dyDescent="0.2">
      <c r="A35" s="31">
        <v>18</v>
      </c>
      <c r="B35" s="2" t="s">
        <v>17</v>
      </c>
      <c r="C35" s="2">
        <f>INDEX(materials_HAMFEM!$C$4:$AU$55,interface!$C$12,A35)</f>
        <v>1.5</v>
      </c>
      <c r="X35" s="13">
        <v>1</v>
      </c>
      <c r="AY35">
        <f t="shared" si="51"/>
        <v>0</v>
      </c>
      <c r="AZ35" s="5">
        <f t="shared" si="52"/>
        <v>804.6</v>
      </c>
      <c r="BA35" s="5">
        <f t="shared" si="53"/>
        <v>358603.25202561129</v>
      </c>
      <c r="BB35" s="29" t="e">
        <f t="shared" si="54"/>
        <v>#NUM!</v>
      </c>
      <c r="BC35" s="29" t="e">
        <f t="shared" si="55"/>
        <v>#NUM!</v>
      </c>
      <c r="BD35" s="29" t="e">
        <f t="shared" si="56"/>
        <v>#NUM!</v>
      </c>
      <c r="BE35" s="29">
        <f t="shared" si="57"/>
        <v>0</v>
      </c>
      <c r="BF35" s="5" t="e">
        <f t="shared" si="58"/>
        <v>#NUM!</v>
      </c>
      <c r="BG35" s="29" t="e">
        <f t="shared" si="59"/>
        <v>#NUM!</v>
      </c>
      <c r="BH35" s="29" t="e">
        <f t="shared" si="60"/>
        <v>#NUM!</v>
      </c>
      <c r="BI35" s="29">
        <f t="shared" si="61"/>
        <v>0</v>
      </c>
      <c r="BJ35" s="30" t="e">
        <f t="shared" si="62"/>
        <v>#NUM!</v>
      </c>
      <c r="BK35" s="29" t="e">
        <f t="shared" si="63"/>
        <v>#NUM!</v>
      </c>
      <c r="BL35" s="29" t="e">
        <f t="shared" si="64"/>
        <v>#NUM!</v>
      </c>
      <c r="BM35" s="29">
        <f t="shared" si="65"/>
        <v>0</v>
      </c>
      <c r="BN35" s="5" t="e">
        <f t="shared" si="66"/>
        <v>#NUM!</v>
      </c>
      <c r="BO35" s="4">
        <f t="shared" si="30"/>
        <v>8.2194749199999997</v>
      </c>
      <c r="BP35" s="4">
        <f t="shared" si="31"/>
        <v>-15.77711152</v>
      </c>
      <c r="BQ35">
        <f t="shared" si="32"/>
        <v>8.2194749199999997</v>
      </c>
      <c r="BR35">
        <f t="shared" si="33"/>
        <v>-15.77711152</v>
      </c>
      <c r="BS35">
        <f t="shared" si="44"/>
        <v>1.6706615595841093E-16</v>
      </c>
      <c r="BT35" s="4">
        <f t="shared" si="34"/>
        <v>0.29418182304666912</v>
      </c>
      <c r="BU35" s="1">
        <f t="shared" si="67"/>
        <v>1.643644148734682E-11</v>
      </c>
    </row>
    <row r="36" spans="1:73" x14ac:dyDescent="0.2">
      <c r="A36" s="31">
        <v>19</v>
      </c>
      <c r="B36" s="2" t="s">
        <v>18</v>
      </c>
      <c r="C36" s="2">
        <f>INDEX(materials_HAMFEM!$C$4:$AU$55,interface!$C$12,A36)</f>
        <v>0.33300000000000002</v>
      </c>
      <c r="X36" s="13">
        <v>1</v>
      </c>
      <c r="AY36">
        <f t="shared" si="51"/>
        <v>0</v>
      </c>
      <c r="AZ36" s="5">
        <f t="shared" si="52"/>
        <v>804.6</v>
      </c>
      <c r="BA36" s="5">
        <f t="shared" si="53"/>
        <v>358603.25202561129</v>
      </c>
      <c r="BB36" s="29" t="e">
        <f t="shared" si="54"/>
        <v>#NUM!</v>
      </c>
      <c r="BC36" s="29" t="e">
        <f t="shared" si="55"/>
        <v>#NUM!</v>
      </c>
      <c r="BD36" s="29" t="e">
        <f t="shared" si="56"/>
        <v>#NUM!</v>
      </c>
      <c r="BE36" s="29">
        <f t="shared" si="57"/>
        <v>0</v>
      </c>
      <c r="BF36" s="5" t="e">
        <f t="shared" si="58"/>
        <v>#NUM!</v>
      </c>
      <c r="BG36" s="29" t="e">
        <f t="shared" si="59"/>
        <v>#NUM!</v>
      </c>
      <c r="BH36" s="29" t="e">
        <f t="shared" si="60"/>
        <v>#NUM!</v>
      </c>
      <c r="BI36" s="29">
        <f t="shared" si="61"/>
        <v>0</v>
      </c>
      <c r="BJ36" s="30" t="e">
        <f t="shared" si="62"/>
        <v>#NUM!</v>
      </c>
      <c r="BK36" s="29" t="e">
        <f t="shared" si="63"/>
        <v>#NUM!</v>
      </c>
      <c r="BL36" s="29" t="e">
        <f t="shared" si="64"/>
        <v>#NUM!</v>
      </c>
      <c r="BM36" s="29">
        <f t="shared" si="65"/>
        <v>0</v>
      </c>
      <c r="BN36" s="5" t="e">
        <f t="shared" si="66"/>
        <v>#NUM!</v>
      </c>
      <c r="BO36" s="4">
        <f t="shared" si="30"/>
        <v>8.2194749199999997</v>
      </c>
      <c r="BP36" s="4">
        <f t="shared" si="31"/>
        <v>-15.77711152</v>
      </c>
      <c r="BQ36">
        <f t="shared" si="32"/>
        <v>8.2194749199999997</v>
      </c>
      <c r="BR36">
        <f t="shared" si="33"/>
        <v>-15.77711152</v>
      </c>
      <c r="BS36">
        <f t="shared" si="44"/>
        <v>1.6706615595841093E-16</v>
      </c>
      <c r="BT36" s="4">
        <f t="shared" si="34"/>
        <v>0.29418182304666912</v>
      </c>
      <c r="BU36" s="1">
        <f t="shared" si="67"/>
        <v>1.643644148734682E-11</v>
      </c>
    </row>
    <row r="37" spans="1:73" x14ac:dyDescent="0.2">
      <c r="A37" s="31">
        <v>20</v>
      </c>
      <c r="B37" s="2" t="s">
        <v>19</v>
      </c>
      <c r="C37" s="2">
        <f>INDEX(materials_HAMFEM!$C$4:$AU$55,interface!$C$12,A37)</f>
        <v>0.05</v>
      </c>
      <c r="X37" s="13">
        <v>1</v>
      </c>
      <c r="AY37">
        <f t="shared" si="51"/>
        <v>0</v>
      </c>
      <c r="AZ37" s="5">
        <f t="shared" si="52"/>
        <v>804.6</v>
      </c>
      <c r="BA37" s="5">
        <f t="shared" si="53"/>
        <v>358603.25202561129</v>
      </c>
      <c r="BB37" s="29" t="e">
        <f t="shared" si="54"/>
        <v>#NUM!</v>
      </c>
      <c r="BC37" s="29" t="e">
        <f t="shared" si="55"/>
        <v>#NUM!</v>
      </c>
      <c r="BD37" s="29" t="e">
        <f t="shared" si="56"/>
        <v>#NUM!</v>
      </c>
      <c r="BE37" s="29">
        <f t="shared" si="57"/>
        <v>0</v>
      </c>
      <c r="BF37" s="5" t="e">
        <f t="shared" si="58"/>
        <v>#NUM!</v>
      </c>
      <c r="BG37" s="29" t="e">
        <f t="shared" si="59"/>
        <v>#NUM!</v>
      </c>
      <c r="BH37" s="29" t="e">
        <f t="shared" si="60"/>
        <v>#NUM!</v>
      </c>
      <c r="BI37" s="29">
        <f t="shared" si="61"/>
        <v>0</v>
      </c>
      <c r="BJ37" s="30" t="e">
        <f t="shared" si="62"/>
        <v>#NUM!</v>
      </c>
      <c r="BK37" s="29" t="e">
        <f t="shared" si="63"/>
        <v>#NUM!</v>
      </c>
      <c r="BL37" s="29" t="e">
        <f t="shared" si="64"/>
        <v>#NUM!</v>
      </c>
      <c r="BM37" s="29">
        <f t="shared" si="65"/>
        <v>0</v>
      </c>
      <c r="BN37" s="5" t="e">
        <f t="shared" si="66"/>
        <v>#NUM!</v>
      </c>
      <c r="BO37" s="4">
        <f t="shared" si="30"/>
        <v>8.2194749199999997</v>
      </c>
      <c r="BP37" s="4">
        <f t="shared" si="31"/>
        <v>-15.77711152</v>
      </c>
      <c r="BQ37">
        <f t="shared" si="32"/>
        <v>8.2194749199999997</v>
      </c>
      <c r="BR37">
        <f t="shared" si="33"/>
        <v>-15.77711152</v>
      </c>
      <c r="BS37">
        <f t="shared" si="44"/>
        <v>1.6706615595841093E-16</v>
      </c>
      <c r="BT37" s="4">
        <f t="shared" si="34"/>
        <v>0.29418182304666912</v>
      </c>
      <c r="BU37" s="1">
        <f t="shared" si="67"/>
        <v>1.643644148734682E-11</v>
      </c>
    </row>
    <row r="38" spans="1:73" x14ac:dyDescent="0.2">
      <c r="A38" s="31">
        <v>21</v>
      </c>
      <c r="B38" s="6" t="s">
        <v>20</v>
      </c>
      <c r="C38" s="6">
        <f>INDEX(materials_HAMFEM!$C$4:$AU$55,interface!$C$12,A38)</f>
        <v>894</v>
      </c>
      <c r="X38" s="13">
        <v>1</v>
      </c>
      <c r="AY38">
        <f t="shared" si="51"/>
        <v>0</v>
      </c>
      <c r="AZ38" s="5">
        <f t="shared" si="52"/>
        <v>804.6</v>
      </c>
      <c r="BA38" s="5">
        <f t="shared" si="53"/>
        <v>358603.25202561129</v>
      </c>
      <c r="BB38" s="29" t="e">
        <f t="shared" si="54"/>
        <v>#NUM!</v>
      </c>
      <c r="BC38" s="29" t="e">
        <f t="shared" si="55"/>
        <v>#NUM!</v>
      </c>
      <c r="BD38" s="29" t="e">
        <f t="shared" si="56"/>
        <v>#NUM!</v>
      </c>
      <c r="BE38" s="29">
        <f t="shared" si="57"/>
        <v>0</v>
      </c>
      <c r="BF38" s="5" t="e">
        <f t="shared" si="58"/>
        <v>#NUM!</v>
      </c>
      <c r="BG38" s="29" t="e">
        <f t="shared" si="59"/>
        <v>#NUM!</v>
      </c>
      <c r="BH38" s="29" t="e">
        <f t="shared" si="60"/>
        <v>#NUM!</v>
      </c>
      <c r="BI38" s="29">
        <f t="shared" si="61"/>
        <v>0</v>
      </c>
      <c r="BJ38" s="30" t="e">
        <f t="shared" si="62"/>
        <v>#NUM!</v>
      </c>
      <c r="BK38" s="29" t="e">
        <f t="shared" si="63"/>
        <v>#NUM!</v>
      </c>
      <c r="BL38" s="29" t="e">
        <f t="shared" si="64"/>
        <v>#NUM!</v>
      </c>
      <c r="BM38" s="29">
        <f t="shared" si="65"/>
        <v>0</v>
      </c>
      <c r="BN38" s="5" t="e">
        <f t="shared" si="66"/>
        <v>#NUM!</v>
      </c>
      <c r="BO38" s="4">
        <f t="shared" si="30"/>
        <v>8.2194749199999997</v>
      </c>
      <c r="BP38" s="4">
        <f t="shared" si="31"/>
        <v>-15.77711152</v>
      </c>
      <c r="BQ38">
        <f t="shared" si="32"/>
        <v>8.2194749199999997</v>
      </c>
      <c r="BR38">
        <f t="shared" si="33"/>
        <v>-15.77711152</v>
      </c>
      <c r="BS38">
        <f t="shared" si="44"/>
        <v>1.6706615595841093E-16</v>
      </c>
      <c r="BT38" s="4">
        <f t="shared" si="34"/>
        <v>0.29418182304666912</v>
      </c>
      <c r="BU38" s="1">
        <f t="shared" si="67"/>
        <v>1.643644148734682E-11</v>
      </c>
    </row>
    <row r="39" spans="1:73" x14ac:dyDescent="0.2">
      <c r="A39" s="31">
        <v>22</v>
      </c>
      <c r="B39" s="2" t="s">
        <v>21</v>
      </c>
      <c r="C39" s="2">
        <f>INDEX(materials_HAMFEM!$C$4:$AU$55,interface!$C$12,A39)</f>
        <v>894</v>
      </c>
      <c r="X39" s="13">
        <v>1</v>
      </c>
      <c r="AY39">
        <f t="shared" si="51"/>
        <v>0</v>
      </c>
      <c r="AZ39" s="5">
        <f t="shared" si="52"/>
        <v>804.6</v>
      </c>
      <c r="BA39" s="5">
        <f t="shared" si="53"/>
        <v>358603.25202561129</v>
      </c>
      <c r="BB39" s="29" t="e">
        <f t="shared" si="54"/>
        <v>#NUM!</v>
      </c>
      <c r="BC39" s="29" t="e">
        <f t="shared" si="55"/>
        <v>#NUM!</v>
      </c>
      <c r="BD39" s="29" t="e">
        <f t="shared" si="56"/>
        <v>#NUM!</v>
      </c>
      <c r="BE39" s="29">
        <f t="shared" si="57"/>
        <v>0</v>
      </c>
      <c r="BF39" s="5" t="e">
        <f t="shared" si="58"/>
        <v>#NUM!</v>
      </c>
      <c r="BG39" s="29" t="e">
        <f t="shared" si="59"/>
        <v>#NUM!</v>
      </c>
      <c r="BH39" s="29" t="e">
        <f t="shared" si="60"/>
        <v>#NUM!</v>
      </c>
      <c r="BI39" s="29">
        <f t="shared" si="61"/>
        <v>0</v>
      </c>
      <c r="BJ39" s="30" t="e">
        <f t="shared" si="62"/>
        <v>#NUM!</v>
      </c>
      <c r="BK39" s="29" t="e">
        <f t="shared" si="63"/>
        <v>#NUM!</v>
      </c>
      <c r="BL39" s="29" t="e">
        <f t="shared" si="64"/>
        <v>#NUM!</v>
      </c>
      <c r="BM39" s="29">
        <f t="shared" si="65"/>
        <v>0</v>
      </c>
      <c r="BN39" s="5" t="e">
        <f t="shared" si="66"/>
        <v>#NUM!</v>
      </c>
      <c r="BO39" s="4">
        <f t="shared" ref="BO39:BO70" si="68">B96</f>
        <v>8.2194749199999997</v>
      </c>
      <c r="BP39" s="4">
        <f t="shared" ref="BP39:BP70" si="69">C96</f>
        <v>-15.77711152</v>
      </c>
      <c r="BQ39">
        <f t="shared" ref="BQ39:BQ70" si="70">IF(C$48=4,BO39,Z39)</f>
        <v>8.2194749199999997</v>
      </c>
      <c r="BR39">
        <f t="shared" ref="BR39:BR70" si="71">IF(C$48=1,AY39,IF(C$48=2,BA39,IF(C$48=3,BN39,BP39)))</f>
        <v>-15.77711152</v>
      </c>
      <c r="BS39">
        <f t="shared" si="44"/>
        <v>1.6706615595841093E-16</v>
      </c>
      <c r="BT39" s="4">
        <f t="shared" ref="BT39:BT70" si="72">IF(C$48=4,EXP(-(10^BQ39)/(($C$9+273.3)*$C$10*$C$11)),X39)</f>
        <v>0.29418182304666912</v>
      </c>
      <c r="BU39" s="1">
        <f t="shared" si="67"/>
        <v>1.643644148734682E-11</v>
      </c>
    </row>
    <row r="40" spans="1:73" x14ac:dyDescent="0.2">
      <c r="A40" s="31">
        <v>23</v>
      </c>
      <c r="B40" s="2" t="s">
        <v>22</v>
      </c>
      <c r="C40" s="7">
        <f>INDEX(materials_HAMFEM!$C$4:$AU$55,interface!$C$12,A40)</f>
        <v>-1.9999999999999999E-6</v>
      </c>
      <c r="D40" s="48"/>
      <c r="X40" s="13">
        <v>1</v>
      </c>
      <c r="AY40">
        <f t="shared" si="51"/>
        <v>0</v>
      </c>
      <c r="AZ40" s="5">
        <f t="shared" si="52"/>
        <v>804.6</v>
      </c>
      <c r="BA40" s="5">
        <f t="shared" si="53"/>
        <v>358603.25202561129</v>
      </c>
      <c r="BB40" s="29" t="e">
        <f t="shared" si="54"/>
        <v>#NUM!</v>
      </c>
      <c r="BC40" s="29" t="e">
        <f t="shared" si="55"/>
        <v>#NUM!</v>
      </c>
      <c r="BD40" s="29" t="e">
        <f t="shared" si="56"/>
        <v>#NUM!</v>
      </c>
      <c r="BE40" s="29">
        <f t="shared" si="57"/>
        <v>0</v>
      </c>
      <c r="BF40" s="5" t="e">
        <f t="shared" si="58"/>
        <v>#NUM!</v>
      </c>
      <c r="BG40" s="29" t="e">
        <f t="shared" si="59"/>
        <v>#NUM!</v>
      </c>
      <c r="BH40" s="29" t="e">
        <f t="shared" si="60"/>
        <v>#NUM!</v>
      </c>
      <c r="BI40" s="29">
        <f t="shared" si="61"/>
        <v>0</v>
      </c>
      <c r="BJ40" s="30" t="e">
        <f t="shared" si="62"/>
        <v>#NUM!</v>
      </c>
      <c r="BK40" s="29" t="e">
        <f t="shared" si="63"/>
        <v>#NUM!</v>
      </c>
      <c r="BL40" s="29" t="e">
        <f t="shared" si="64"/>
        <v>#NUM!</v>
      </c>
      <c r="BM40" s="29">
        <f t="shared" si="65"/>
        <v>0</v>
      </c>
      <c r="BN40" s="5" t="e">
        <f t="shared" si="66"/>
        <v>#NUM!</v>
      </c>
      <c r="BO40" s="4">
        <f t="shared" si="68"/>
        <v>8.2194749199999997</v>
      </c>
      <c r="BP40" s="4">
        <f t="shared" si="69"/>
        <v>-15.77711152</v>
      </c>
      <c r="BQ40">
        <f t="shared" si="70"/>
        <v>8.2194749199999997</v>
      </c>
      <c r="BR40">
        <f t="shared" si="71"/>
        <v>-15.77711152</v>
      </c>
      <c r="BS40">
        <f t="shared" si="44"/>
        <v>1.6706615595841093E-16</v>
      </c>
      <c r="BT40" s="4">
        <f t="shared" si="72"/>
        <v>0.29418182304666912</v>
      </c>
      <c r="BU40" s="1">
        <f t="shared" si="67"/>
        <v>1.643644148734682E-11</v>
      </c>
    </row>
    <row r="41" spans="1:73" x14ac:dyDescent="0.2">
      <c r="A41" s="31">
        <v>24</v>
      </c>
      <c r="B41" s="2" t="s">
        <v>23</v>
      </c>
      <c r="C41" s="2">
        <f>INDEX(materials_HAMFEM!$C$4:$AU$55,interface!$C$12,A41)</f>
        <v>2</v>
      </c>
      <c r="X41" s="13">
        <v>1</v>
      </c>
      <c r="AY41">
        <f t="shared" si="51"/>
        <v>0</v>
      </c>
      <c r="AZ41" s="5">
        <f t="shared" si="52"/>
        <v>804.6</v>
      </c>
      <c r="BA41" s="5">
        <f t="shared" si="53"/>
        <v>358603.25202561129</v>
      </c>
      <c r="BB41" s="29" t="e">
        <f t="shared" si="54"/>
        <v>#NUM!</v>
      </c>
      <c r="BC41" s="29" t="e">
        <f t="shared" si="55"/>
        <v>#NUM!</v>
      </c>
      <c r="BD41" s="29" t="e">
        <f t="shared" si="56"/>
        <v>#NUM!</v>
      </c>
      <c r="BE41" s="29">
        <f t="shared" si="57"/>
        <v>0</v>
      </c>
      <c r="BF41" s="5" t="e">
        <f t="shared" si="58"/>
        <v>#NUM!</v>
      </c>
      <c r="BG41" s="29" t="e">
        <f t="shared" si="59"/>
        <v>#NUM!</v>
      </c>
      <c r="BH41" s="29" t="e">
        <f t="shared" si="60"/>
        <v>#NUM!</v>
      </c>
      <c r="BI41" s="29">
        <f t="shared" si="61"/>
        <v>0</v>
      </c>
      <c r="BJ41" s="30" t="e">
        <f t="shared" si="62"/>
        <v>#NUM!</v>
      </c>
      <c r="BK41" s="29" t="e">
        <f t="shared" si="63"/>
        <v>#NUM!</v>
      </c>
      <c r="BL41" s="29" t="e">
        <f t="shared" si="64"/>
        <v>#NUM!</v>
      </c>
      <c r="BM41" s="29">
        <f t="shared" si="65"/>
        <v>0</v>
      </c>
      <c r="BN41" s="5" t="e">
        <f t="shared" si="66"/>
        <v>#NUM!</v>
      </c>
      <c r="BO41" s="4">
        <f t="shared" si="68"/>
        <v>8.2194749199999997</v>
      </c>
      <c r="BP41" s="4">
        <f t="shared" si="69"/>
        <v>-15.77711152</v>
      </c>
      <c r="BQ41">
        <f t="shared" si="70"/>
        <v>8.2194749199999997</v>
      </c>
      <c r="BR41">
        <f t="shared" si="71"/>
        <v>-15.77711152</v>
      </c>
      <c r="BS41">
        <f t="shared" si="44"/>
        <v>1.6706615595841093E-16</v>
      </c>
      <c r="BT41" s="4">
        <f t="shared" si="72"/>
        <v>0.29418182304666912</v>
      </c>
      <c r="BU41" s="1">
        <f t="shared" si="67"/>
        <v>1.643644148734682E-11</v>
      </c>
    </row>
    <row r="42" spans="1:73" x14ac:dyDescent="0.2">
      <c r="A42" s="31">
        <v>25</v>
      </c>
      <c r="B42" s="2" t="s">
        <v>24</v>
      </c>
      <c r="C42" s="2">
        <f>INDEX(materials_HAMFEM!$C$4:$AU$55,interface!$C$12,A42)</f>
        <v>0.5</v>
      </c>
      <c r="X42" s="13">
        <v>1</v>
      </c>
      <c r="AY42">
        <f t="shared" si="51"/>
        <v>0</v>
      </c>
      <c r="AZ42" s="5">
        <f t="shared" si="52"/>
        <v>804.6</v>
      </c>
      <c r="BA42" s="5">
        <f t="shared" si="53"/>
        <v>358603.25202561129</v>
      </c>
      <c r="BB42" s="29" t="e">
        <f t="shared" si="54"/>
        <v>#NUM!</v>
      </c>
      <c r="BC42" s="29" t="e">
        <f t="shared" si="55"/>
        <v>#NUM!</v>
      </c>
      <c r="BD42" s="29" t="e">
        <f t="shared" si="56"/>
        <v>#NUM!</v>
      </c>
      <c r="BE42" s="29">
        <f t="shared" si="57"/>
        <v>0</v>
      </c>
      <c r="BF42" s="5" t="e">
        <f t="shared" si="58"/>
        <v>#NUM!</v>
      </c>
      <c r="BG42" s="29" t="e">
        <f t="shared" si="59"/>
        <v>#NUM!</v>
      </c>
      <c r="BH42" s="29" t="e">
        <f t="shared" si="60"/>
        <v>#NUM!</v>
      </c>
      <c r="BI42" s="29">
        <f t="shared" si="61"/>
        <v>0</v>
      </c>
      <c r="BJ42" s="30" t="e">
        <f t="shared" si="62"/>
        <v>#NUM!</v>
      </c>
      <c r="BK42" s="29" t="e">
        <f t="shared" si="63"/>
        <v>#NUM!</v>
      </c>
      <c r="BL42" s="29" t="e">
        <f t="shared" si="64"/>
        <v>#NUM!</v>
      </c>
      <c r="BM42" s="29">
        <f t="shared" si="65"/>
        <v>0</v>
      </c>
      <c r="BN42" s="5" t="e">
        <f t="shared" si="66"/>
        <v>#NUM!</v>
      </c>
      <c r="BO42" s="4">
        <f t="shared" si="68"/>
        <v>8.2194749199999997</v>
      </c>
      <c r="BP42" s="4">
        <f t="shared" si="69"/>
        <v>-15.77711152</v>
      </c>
      <c r="BQ42">
        <f t="shared" si="70"/>
        <v>8.2194749199999997</v>
      </c>
      <c r="BR42">
        <f t="shared" si="71"/>
        <v>-15.77711152</v>
      </c>
      <c r="BS42">
        <f t="shared" si="44"/>
        <v>1.6706615595841093E-16</v>
      </c>
      <c r="BT42" s="4">
        <f t="shared" si="72"/>
        <v>0.29418182304666912</v>
      </c>
      <c r="BU42" s="1">
        <f t="shared" si="67"/>
        <v>1.643644148734682E-11</v>
      </c>
    </row>
    <row r="43" spans="1:73" x14ac:dyDescent="0.2">
      <c r="A43" s="31">
        <v>26</v>
      </c>
      <c r="B43" s="2" t="s">
        <v>25</v>
      </c>
      <c r="C43" s="2">
        <f>INDEX(materials_HAMFEM!$C$4:$AU$55,interface!$C$12,A43)</f>
        <v>0.1</v>
      </c>
      <c r="X43" s="13">
        <v>1</v>
      </c>
      <c r="AY43">
        <f t="shared" si="51"/>
        <v>0</v>
      </c>
      <c r="AZ43" s="5">
        <f t="shared" si="52"/>
        <v>804.6</v>
      </c>
      <c r="BA43" s="5">
        <f t="shared" si="53"/>
        <v>358603.25202561129</v>
      </c>
      <c r="BB43" s="29" t="e">
        <f t="shared" si="54"/>
        <v>#NUM!</v>
      </c>
      <c r="BC43" s="29" t="e">
        <f t="shared" si="55"/>
        <v>#NUM!</v>
      </c>
      <c r="BD43" s="29" t="e">
        <f t="shared" si="56"/>
        <v>#NUM!</v>
      </c>
      <c r="BE43" s="29">
        <f t="shared" si="57"/>
        <v>0</v>
      </c>
      <c r="BF43" s="5" t="e">
        <f t="shared" si="58"/>
        <v>#NUM!</v>
      </c>
      <c r="BG43" s="29" t="e">
        <f t="shared" si="59"/>
        <v>#NUM!</v>
      </c>
      <c r="BH43" s="29" t="e">
        <f t="shared" si="60"/>
        <v>#NUM!</v>
      </c>
      <c r="BI43" s="29">
        <f t="shared" si="61"/>
        <v>0</v>
      </c>
      <c r="BJ43" s="30" t="e">
        <f t="shared" si="62"/>
        <v>#NUM!</v>
      </c>
      <c r="BK43" s="29" t="e">
        <f t="shared" si="63"/>
        <v>#NUM!</v>
      </c>
      <c r="BL43" s="29" t="e">
        <f t="shared" si="64"/>
        <v>#NUM!</v>
      </c>
      <c r="BM43" s="29">
        <f t="shared" si="65"/>
        <v>0</v>
      </c>
      <c r="BN43" s="5" t="e">
        <f t="shared" si="66"/>
        <v>#NUM!</v>
      </c>
      <c r="BO43" s="4">
        <f t="shared" si="68"/>
        <v>8.2194749199999997</v>
      </c>
      <c r="BP43" s="4">
        <f t="shared" si="69"/>
        <v>-15.77711152</v>
      </c>
      <c r="BQ43">
        <f t="shared" si="70"/>
        <v>8.2194749199999997</v>
      </c>
      <c r="BR43">
        <f t="shared" si="71"/>
        <v>-15.77711152</v>
      </c>
      <c r="BS43">
        <f t="shared" si="44"/>
        <v>1.6706615595841093E-16</v>
      </c>
      <c r="BT43" s="4">
        <f t="shared" si="72"/>
        <v>0.29418182304666912</v>
      </c>
      <c r="BU43" s="1">
        <f t="shared" si="67"/>
        <v>1.643644148734682E-11</v>
      </c>
    </row>
    <row r="44" spans="1:73" x14ac:dyDescent="0.2">
      <c r="A44" s="31">
        <v>27</v>
      </c>
      <c r="B44" s="6" t="s">
        <v>26</v>
      </c>
      <c r="C44" s="6">
        <f>INDEX(materials_HAMFEM!$C$4:$AU$55,interface!$C$12,A44)</f>
        <v>-2.4700000000000001E-6</v>
      </c>
      <c r="X44" s="13">
        <v>1</v>
      </c>
      <c r="AY44">
        <f t="shared" si="51"/>
        <v>0</v>
      </c>
      <c r="AZ44" s="5">
        <f t="shared" si="52"/>
        <v>804.6</v>
      </c>
      <c r="BA44" s="5">
        <f t="shared" si="53"/>
        <v>358603.25202561129</v>
      </c>
      <c r="BB44" s="29" t="e">
        <f t="shared" si="54"/>
        <v>#NUM!</v>
      </c>
      <c r="BC44" s="29" t="e">
        <f t="shared" si="55"/>
        <v>#NUM!</v>
      </c>
      <c r="BD44" s="29" t="e">
        <f t="shared" si="56"/>
        <v>#NUM!</v>
      </c>
      <c r="BE44" s="29">
        <f t="shared" si="57"/>
        <v>0</v>
      </c>
      <c r="BF44" s="5" t="e">
        <f t="shared" si="58"/>
        <v>#NUM!</v>
      </c>
      <c r="BG44" s="29" t="e">
        <f t="shared" si="59"/>
        <v>#NUM!</v>
      </c>
      <c r="BH44" s="29" t="e">
        <f t="shared" si="60"/>
        <v>#NUM!</v>
      </c>
      <c r="BI44" s="29">
        <f t="shared" si="61"/>
        <v>0</v>
      </c>
      <c r="BJ44" s="30" t="e">
        <f t="shared" si="62"/>
        <v>#NUM!</v>
      </c>
      <c r="BK44" s="29" t="e">
        <f t="shared" si="63"/>
        <v>#NUM!</v>
      </c>
      <c r="BL44" s="29" t="e">
        <f t="shared" si="64"/>
        <v>#NUM!</v>
      </c>
      <c r="BM44" s="29">
        <f t="shared" si="65"/>
        <v>0</v>
      </c>
      <c r="BN44" s="5" t="e">
        <f t="shared" si="66"/>
        <v>#NUM!</v>
      </c>
      <c r="BO44" s="4">
        <f t="shared" si="68"/>
        <v>8.2194749199999997</v>
      </c>
      <c r="BP44" s="4">
        <f t="shared" si="69"/>
        <v>-15.77711152</v>
      </c>
      <c r="BQ44">
        <f t="shared" si="70"/>
        <v>8.2194749199999997</v>
      </c>
      <c r="BR44">
        <f t="shared" si="71"/>
        <v>-15.77711152</v>
      </c>
      <c r="BS44">
        <f t="shared" si="44"/>
        <v>1.6706615595841093E-16</v>
      </c>
      <c r="BT44" s="4">
        <f t="shared" si="72"/>
        <v>0.29418182304666912</v>
      </c>
      <c r="BU44" s="1">
        <f t="shared" si="67"/>
        <v>1.643644148734682E-11</v>
      </c>
    </row>
    <row r="45" spans="1:73" x14ac:dyDescent="0.2">
      <c r="A45" s="31">
        <v>28</v>
      </c>
      <c r="B45" s="6" t="s">
        <v>27</v>
      </c>
      <c r="C45" s="6">
        <f>INDEX(materials_HAMFEM!$C$4:$AU$55,interface!$C$12,A45)</f>
        <v>4.8</v>
      </c>
      <c r="X45" s="13">
        <v>1</v>
      </c>
      <c r="AY45">
        <f t="shared" si="51"/>
        <v>0</v>
      </c>
      <c r="AZ45" s="5">
        <f t="shared" si="52"/>
        <v>804.6</v>
      </c>
      <c r="BA45" s="5">
        <f t="shared" si="53"/>
        <v>358603.25202561129</v>
      </c>
      <c r="BB45" s="29" t="e">
        <f t="shared" si="54"/>
        <v>#NUM!</v>
      </c>
      <c r="BC45" s="29" t="e">
        <f t="shared" si="55"/>
        <v>#NUM!</v>
      </c>
      <c r="BD45" s="29" t="e">
        <f t="shared" si="56"/>
        <v>#NUM!</v>
      </c>
      <c r="BE45" s="29">
        <f t="shared" si="57"/>
        <v>0</v>
      </c>
      <c r="BF45" s="5" t="e">
        <f t="shared" si="58"/>
        <v>#NUM!</v>
      </c>
      <c r="BG45" s="29" t="e">
        <f t="shared" si="59"/>
        <v>#NUM!</v>
      </c>
      <c r="BH45" s="29" t="e">
        <f t="shared" si="60"/>
        <v>#NUM!</v>
      </c>
      <c r="BI45" s="29">
        <f t="shared" si="61"/>
        <v>0</v>
      </c>
      <c r="BJ45" s="30" t="e">
        <f t="shared" si="62"/>
        <v>#NUM!</v>
      </c>
      <c r="BK45" s="29" t="e">
        <f t="shared" si="63"/>
        <v>#NUM!</v>
      </c>
      <c r="BL45" s="29" t="e">
        <f t="shared" si="64"/>
        <v>#NUM!</v>
      </c>
      <c r="BM45" s="29">
        <f t="shared" si="65"/>
        <v>0</v>
      </c>
      <c r="BN45" s="5" t="e">
        <f t="shared" si="66"/>
        <v>#NUM!</v>
      </c>
      <c r="BO45" s="4">
        <f t="shared" si="68"/>
        <v>8.2194749199999997</v>
      </c>
      <c r="BP45" s="4">
        <f t="shared" si="69"/>
        <v>-15.77711152</v>
      </c>
      <c r="BQ45">
        <f t="shared" si="70"/>
        <v>8.2194749199999997</v>
      </c>
      <c r="BR45">
        <f t="shared" si="71"/>
        <v>-15.77711152</v>
      </c>
      <c r="BS45">
        <f t="shared" si="44"/>
        <v>1.6706615595841093E-16</v>
      </c>
      <c r="BT45" s="4">
        <f t="shared" si="72"/>
        <v>0.29418182304666912</v>
      </c>
      <c r="BU45" s="1">
        <f t="shared" si="67"/>
        <v>1.643644148734682E-11</v>
      </c>
    </row>
    <row r="46" spans="1:73" x14ac:dyDescent="0.2">
      <c r="A46" s="31">
        <v>29</v>
      </c>
      <c r="B46" s="6" t="s">
        <v>28</v>
      </c>
      <c r="C46" s="6">
        <f>INDEX(materials_HAMFEM!$C$4:$AU$55,interface!$C$12,A46)</f>
        <v>0.79200000000000004</v>
      </c>
      <c r="X46" s="13">
        <v>1</v>
      </c>
      <c r="AY46">
        <f t="shared" si="51"/>
        <v>0</v>
      </c>
      <c r="AZ46" s="5">
        <f t="shared" si="52"/>
        <v>804.6</v>
      </c>
      <c r="BA46" s="5">
        <f t="shared" si="53"/>
        <v>358603.25202561129</v>
      </c>
      <c r="BB46" s="29" t="e">
        <f t="shared" si="54"/>
        <v>#NUM!</v>
      </c>
      <c r="BC46" s="29" t="e">
        <f t="shared" si="55"/>
        <v>#NUM!</v>
      </c>
      <c r="BD46" s="29" t="e">
        <f t="shared" si="56"/>
        <v>#NUM!</v>
      </c>
      <c r="BE46" s="29">
        <f t="shared" si="57"/>
        <v>0</v>
      </c>
      <c r="BF46" s="5" t="e">
        <f t="shared" si="58"/>
        <v>#NUM!</v>
      </c>
      <c r="BG46" s="29" t="e">
        <f t="shared" si="59"/>
        <v>#NUM!</v>
      </c>
      <c r="BH46" s="29" t="e">
        <f t="shared" si="60"/>
        <v>#NUM!</v>
      </c>
      <c r="BI46" s="29">
        <f t="shared" si="61"/>
        <v>0</v>
      </c>
      <c r="BJ46" s="30" t="e">
        <f t="shared" si="62"/>
        <v>#NUM!</v>
      </c>
      <c r="BK46" s="29" t="e">
        <f t="shared" si="63"/>
        <v>#NUM!</v>
      </c>
      <c r="BL46" s="29" t="e">
        <f t="shared" si="64"/>
        <v>#NUM!</v>
      </c>
      <c r="BM46" s="29">
        <f t="shared" si="65"/>
        <v>0</v>
      </c>
      <c r="BN46" s="5" t="e">
        <f t="shared" si="66"/>
        <v>#NUM!</v>
      </c>
      <c r="BO46" s="4">
        <f t="shared" si="68"/>
        <v>8.2194749199999997</v>
      </c>
      <c r="BP46" s="4">
        <f t="shared" si="69"/>
        <v>-15.77711152</v>
      </c>
      <c r="BQ46">
        <f t="shared" si="70"/>
        <v>8.2194749199999997</v>
      </c>
      <c r="BR46">
        <f t="shared" si="71"/>
        <v>-15.77711152</v>
      </c>
      <c r="BS46">
        <f t="shared" si="44"/>
        <v>1.6706615595841093E-16</v>
      </c>
      <c r="BT46" s="4">
        <f t="shared" si="72"/>
        <v>0.29418182304666912</v>
      </c>
      <c r="BU46" s="1">
        <f t="shared" si="67"/>
        <v>1.643644148734682E-11</v>
      </c>
    </row>
    <row r="47" spans="1:73" x14ac:dyDescent="0.2">
      <c r="A47" s="31">
        <v>30</v>
      </c>
      <c r="B47" s="6" t="s">
        <v>29</v>
      </c>
      <c r="C47" s="6">
        <f>INDEX(materials_HAMFEM!$C$4:$AU$55,interface!$C$12,A47)</f>
        <v>0.85</v>
      </c>
      <c r="X47" s="13">
        <v>1</v>
      </c>
      <c r="AY47">
        <f t="shared" si="51"/>
        <v>0</v>
      </c>
      <c r="AZ47" s="5">
        <f t="shared" si="52"/>
        <v>804.6</v>
      </c>
      <c r="BA47" s="5">
        <f t="shared" si="53"/>
        <v>358603.25202561129</v>
      </c>
      <c r="BB47" s="29" t="e">
        <f t="shared" si="54"/>
        <v>#NUM!</v>
      </c>
      <c r="BC47" s="29" t="e">
        <f t="shared" si="55"/>
        <v>#NUM!</v>
      </c>
      <c r="BD47" s="29" t="e">
        <f t="shared" si="56"/>
        <v>#NUM!</v>
      </c>
      <c r="BE47" s="29">
        <f t="shared" si="57"/>
        <v>0</v>
      </c>
      <c r="BF47" s="5" t="e">
        <f t="shared" si="58"/>
        <v>#NUM!</v>
      </c>
      <c r="BG47" s="29" t="e">
        <f t="shared" si="59"/>
        <v>#NUM!</v>
      </c>
      <c r="BH47" s="29" t="e">
        <f t="shared" si="60"/>
        <v>#NUM!</v>
      </c>
      <c r="BI47" s="29">
        <f t="shared" si="61"/>
        <v>0</v>
      </c>
      <c r="BJ47" s="30" t="e">
        <f t="shared" si="62"/>
        <v>#NUM!</v>
      </c>
      <c r="BK47" s="29" t="e">
        <f t="shared" si="63"/>
        <v>#NUM!</v>
      </c>
      <c r="BL47" s="29" t="e">
        <f t="shared" si="64"/>
        <v>#NUM!</v>
      </c>
      <c r="BM47" s="29">
        <f t="shared" si="65"/>
        <v>0</v>
      </c>
      <c r="BN47" s="5" t="e">
        <f t="shared" si="66"/>
        <v>#NUM!</v>
      </c>
      <c r="BO47" s="4">
        <f t="shared" si="68"/>
        <v>8.2194749199999997</v>
      </c>
      <c r="BP47" s="4">
        <f t="shared" si="69"/>
        <v>-15.77711152</v>
      </c>
      <c r="BQ47">
        <f t="shared" si="70"/>
        <v>8.2194749199999997</v>
      </c>
      <c r="BR47">
        <f t="shared" si="71"/>
        <v>-15.77711152</v>
      </c>
      <c r="BS47">
        <f t="shared" si="44"/>
        <v>1.6706615595841093E-16</v>
      </c>
      <c r="BT47" s="4">
        <f t="shared" si="72"/>
        <v>0.29418182304666912</v>
      </c>
      <c r="BU47" s="1">
        <f t="shared" si="67"/>
        <v>1.643644148734682E-11</v>
      </c>
    </row>
    <row r="48" spans="1:73" x14ac:dyDescent="0.2">
      <c r="A48" s="31">
        <v>31</v>
      </c>
      <c r="B48" t="s">
        <v>30</v>
      </c>
      <c r="C48">
        <f>INDEX(materials_HAMFEM!$C$4:$AU$55,interface!$C$12,A48)</f>
        <v>4</v>
      </c>
      <c r="X48" s="13">
        <v>1</v>
      </c>
      <c r="AY48">
        <f t="shared" si="51"/>
        <v>0</v>
      </c>
      <c r="AZ48" s="5">
        <f t="shared" si="52"/>
        <v>804.6</v>
      </c>
      <c r="BA48" s="5">
        <f t="shared" si="53"/>
        <v>358603.25202561129</v>
      </c>
      <c r="BB48" s="29" t="e">
        <f t="shared" si="54"/>
        <v>#NUM!</v>
      </c>
      <c r="BC48" s="29" t="e">
        <f t="shared" si="55"/>
        <v>#NUM!</v>
      </c>
      <c r="BD48" s="29" t="e">
        <f t="shared" si="56"/>
        <v>#NUM!</v>
      </c>
      <c r="BE48" s="29">
        <f t="shared" si="57"/>
        <v>0</v>
      </c>
      <c r="BF48" s="5" t="e">
        <f t="shared" si="58"/>
        <v>#NUM!</v>
      </c>
      <c r="BG48" s="29" t="e">
        <f t="shared" si="59"/>
        <v>#NUM!</v>
      </c>
      <c r="BH48" s="29" t="e">
        <f t="shared" si="60"/>
        <v>#NUM!</v>
      </c>
      <c r="BI48" s="29">
        <f t="shared" si="61"/>
        <v>0</v>
      </c>
      <c r="BJ48" s="30" t="e">
        <f t="shared" si="62"/>
        <v>#NUM!</v>
      </c>
      <c r="BK48" s="29" t="e">
        <f t="shared" si="63"/>
        <v>#NUM!</v>
      </c>
      <c r="BL48" s="29" t="e">
        <f t="shared" si="64"/>
        <v>#NUM!</v>
      </c>
      <c r="BM48" s="29">
        <f t="shared" si="65"/>
        <v>0</v>
      </c>
      <c r="BN48" s="5" t="e">
        <f t="shared" si="66"/>
        <v>#NUM!</v>
      </c>
      <c r="BO48" s="4">
        <f t="shared" si="68"/>
        <v>8.2194749199999997</v>
      </c>
      <c r="BP48" s="4">
        <f t="shared" si="69"/>
        <v>-15.77711152</v>
      </c>
      <c r="BQ48">
        <f t="shared" si="70"/>
        <v>8.2194749199999997</v>
      </c>
      <c r="BR48">
        <f t="shared" si="71"/>
        <v>-15.77711152</v>
      </c>
      <c r="BS48">
        <f t="shared" si="44"/>
        <v>1.6706615595841093E-16</v>
      </c>
      <c r="BT48" s="4">
        <f t="shared" si="72"/>
        <v>0.29418182304666912</v>
      </c>
      <c r="BU48" s="1">
        <f t="shared" si="67"/>
        <v>1.643644148734682E-11</v>
      </c>
    </row>
    <row r="49" spans="1:73" x14ac:dyDescent="0.2">
      <c r="A49" s="31">
        <v>32</v>
      </c>
      <c r="B49" t="s">
        <v>31</v>
      </c>
      <c r="C49">
        <f>INDEX(materials_HAMFEM!$C$4:$AU$55,interface!$C$12,A49)</f>
        <v>0</v>
      </c>
      <c r="X49" s="13">
        <v>1</v>
      </c>
      <c r="AY49">
        <f t="shared" si="51"/>
        <v>0</v>
      </c>
      <c r="AZ49" s="5">
        <f t="shared" si="52"/>
        <v>804.6</v>
      </c>
      <c r="BA49" s="5">
        <f t="shared" si="53"/>
        <v>358603.25202561129</v>
      </c>
      <c r="BB49" s="29" t="e">
        <f t="shared" si="54"/>
        <v>#NUM!</v>
      </c>
      <c r="BC49" s="29" t="e">
        <f t="shared" si="55"/>
        <v>#NUM!</v>
      </c>
      <c r="BD49" s="29" t="e">
        <f t="shared" si="56"/>
        <v>#NUM!</v>
      </c>
      <c r="BE49" s="29">
        <f t="shared" si="57"/>
        <v>0</v>
      </c>
      <c r="BF49" s="5" t="e">
        <f t="shared" si="58"/>
        <v>#NUM!</v>
      </c>
      <c r="BG49" s="29" t="e">
        <f t="shared" si="59"/>
        <v>#NUM!</v>
      </c>
      <c r="BH49" s="29" t="e">
        <f t="shared" si="60"/>
        <v>#NUM!</v>
      </c>
      <c r="BI49" s="29">
        <f t="shared" si="61"/>
        <v>0</v>
      </c>
      <c r="BJ49" s="30" t="e">
        <f t="shared" si="62"/>
        <v>#NUM!</v>
      </c>
      <c r="BK49" s="29" t="e">
        <f t="shared" si="63"/>
        <v>#NUM!</v>
      </c>
      <c r="BL49" s="29" t="e">
        <f t="shared" si="64"/>
        <v>#NUM!</v>
      </c>
      <c r="BM49" s="29">
        <f t="shared" si="65"/>
        <v>0</v>
      </c>
      <c r="BN49" s="5" t="e">
        <f t="shared" si="66"/>
        <v>#NUM!</v>
      </c>
      <c r="BO49" s="4">
        <f t="shared" si="68"/>
        <v>8.2194749199999997</v>
      </c>
      <c r="BP49" s="4">
        <f t="shared" si="69"/>
        <v>-15.77711152</v>
      </c>
      <c r="BQ49">
        <f t="shared" si="70"/>
        <v>8.2194749199999997</v>
      </c>
      <c r="BR49">
        <f t="shared" si="71"/>
        <v>-15.77711152</v>
      </c>
      <c r="BS49">
        <f t="shared" si="44"/>
        <v>1.6706615595841093E-16</v>
      </c>
      <c r="BT49" s="4">
        <f t="shared" si="72"/>
        <v>0.29418182304666912</v>
      </c>
      <c r="BU49" s="1">
        <f t="shared" si="67"/>
        <v>1.643644148734682E-11</v>
      </c>
    </row>
    <row r="50" spans="1:73" x14ac:dyDescent="0.2">
      <c r="A50" s="31">
        <v>33</v>
      </c>
      <c r="B50" t="s">
        <v>32</v>
      </c>
      <c r="C50">
        <f>INDEX(materials_HAMFEM!$C$4:$AU$55,interface!$C$12,A50)</f>
        <v>0</v>
      </c>
      <c r="X50" s="13">
        <v>1</v>
      </c>
      <c r="AY50">
        <f t="shared" si="51"/>
        <v>0</v>
      </c>
      <c r="AZ50" s="5">
        <f t="shared" si="52"/>
        <v>804.6</v>
      </c>
      <c r="BA50" s="5">
        <f t="shared" si="53"/>
        <v>358603.25202561129</v>
      </c>
      <c r="BB50" s="29" t="e">
        <f t="shared" si="54"/>
        <v>#NUM!</v>
      </c>
      <c r="BC50" s="29" t="e">
        <f t="shared" si="55"/>
        <v>#NUM!</v>
      </c>
      <c r="BD50" s="29" t="e">
        <f t="shared" si="56"/>
        <v>#NUM!</v>
      </c>
      <c r="BE50" s="29">
        <f t="shared" si="57"/>
        <v>0</v>
      </c>
      <c r="BF50" s="5" t="e">
        <f t="shared" si="58"/>
        <v>#NUM!</v>
      </c>
      <c r="BG50" s="29" t="e">
        <f t="shared" si="59"/>
        <v>#NUM!</v>
      </c>
      <c r="BH50" s="29" t="e">
        <f t="shared" si="60"/>
        <v>#NUM!</v>
      </c>
      <c r="BI50" s="29">
        <f t="shared" si="61"/>
        <v>0</v>
      </c>
      <c r="BJ50" s="30" t="e">
        <f t="shared" si="62"/>
        <v>#NUM!</v>
      </c>
      <c r="BK50" s="29" t="e">
        <f t="shared" si="63"/>
        <v>#NUM!</v>
      </c>
      <c r="BL50" s="29" t="e">
        <f t="shared" si="64"/>
        <v>#NUM!</v>
      </c>
      <c r="BM50" s="29">
        <f t="shared" si="65"/>
        <v>0</v>
      </c>
      <c r="BN50" s="5" t="e">
        <f t="shared" si="66"/>
        <v>#NUM!</v>
      </c>
      <c r="BO50" s="4">
        <f t="shared" si="68"/>
        <v>8.2194749199999997</v>
      </c>
      <c r="BP50" s="4">
        <f t="shared" si="69"/>
        <v>-15.77711152</v>
      </c>
      <c r="BQ50">
        <f t="shared" si="70"/>
        <v>8.2194749199999997</v>
      </c>
      <c r="BR50">
        <f t="shared" si="71"/>
        <v>-15.77711152</v>
      </c>
      <c r="BS50">
        <f t="shared" si="44"/>
        <v>1.6706615595841093E-16</v>
      </c>
      <c r="BT50" s="4">
        <f t="shared" si="72"/>
        <v>0.29418182304666912</v>
      </c>
      <c r="BU50" s="1">
        <f t="shared" si="67"/>
        <v>1.643644148734682E-11</v>
      </c>
    </row>
    <row r="51" spans="1:73" x14ac:dyDescent="0.2">
      <c r="A51" s="31">
        <v>34</v>
      </c>
      <c r="B51" t="s">
        <v>33</v>
      </c>
      <c r="C51">
        <f>INDEX(materials_HAMFEM!$C$4:$AU$55,interface!$C$12,A51)</f>
        <v>0</v>
      </c>
      <c r="X51" s="13">
        <v>1</v>
      </c>
      <c r="AY51">
        <f t="shared" si="51"/>
        <v>0</v>
      </c>
      <c r="AZ51" s="5">
        <f t="shared" si="52"/>
        <v>804.6</v>
      </c>
      <c r="BA51" s="5">
        <f t="shared" si="53"/>
        <v>358603.25202561129</v>
      </c>
      <c r="BB51" s="29" t="e">
        <f t="shared" si="54"/>
        <v>#NUM!</v>
      </c>
      <c r="BC51" s="29" t="e">
        <f t="shared" si="55"/>
        <v>#NUM!</v>
      </c>
      <c r="BD51" s="29" t="e">
        <f t="shared" si="56"/>
        <v>#NUM!</v>
      </c>
      <c r="BE51" s="29">
        <f t="shared" si="57"/>
        <v>0</v>
      </c>
      <c r="BF51" s="5" t="e">
        <f t="shared" si="58"/>
        <v>#NUM!</v>
      </c>
      <c r="BG51" s="29" t="e">
        <f t="shared" si="59"/>
        <v>#NUM!</v>
      </c>
      <c r="BH51" s="29" t="e">
        <f t="shared" si="60"/>
        <v>#NUM!</v>
      </c>
      <c r="BI51" s="29">
        <f t="shared" si="61"/>
        <v>0</v>
      </c>
      <c r="BJ51" s="30" t="e">
        <f t="shared" si="62"/>
        <v>#NUM!</v>
      </c>
      <c r="BK51" s="29" t="e">
        <f t="shared" si="63"/>
        <v>#NUM!</v>
      </c>
      <c r="BL51" s="29" t="e">
        <f t="shared" si="64"/>
        <v>#NUM!</v>
      </c>
      <c r="BM51" s="29">
        <f t="shared" si="65"/>
        <v>0</v>
      </c>
      <c r="BN51" s="5" t="e">
        <f t="shared" si="66"/>
        <v>#NUM!</v>
      </c>
      <c r="BO51" s="4">
        <f t="shared" si="68"/>
        <v>8.2194749199999997</v>
      </c>
      <c r="BP51" s="4">
        <f t="shared" si="69"/>
        <v>-15.77711152</v>
      </c>
      <c r="BQ51">
        <f t="shared" si="70"/>
        <v>8.2194749199999997</v>
      </c>
      <c r="BR51">
        <f t="shared" si="71"/>
        <v>-15.77711152</v>
      </c>
      <c r="BS51">
        <f t="shared" si="44"/>
        <v>1.6706615595841093E-16</v>
      </c>
      <c r="BT51" s="4">
        <f t="shared" si="72"/>
        <v>0.29418182304666912</v>
      </c>
      <c r="BU51" s="1">
        <f t="shared" si="67"/>
        <v>1.643644148734682E-11</v>
      </c>
    </row>
    <row r="52" spans="1:73" x14ac:dyDescent="0.2">
      <c r="A52" s="31">
        <v>35</v>
      </c>
      <c r="B52" t="s">
        <v>34</v>
      </c>
      <c r="C52">
        <f>INDEX(materials_HAMFEM!$C$4:$AU$55,interface!$C$12,A52)</f>
        <v>0</v>
      </c>
      <c r="X52" s="13">
        <v>1</v>
      </c>
      <c r="AY52">
        <f t="shared" si="51"/>
        <v>0</v>
      </c>
      <c r="AZ52" s="5">
        <f t="shared" si="52"/>
        <v>804.6</v>
      </c>
      <c r="BA52" s="5">
        <f t="shared" si="53"/>
        <v>358603.25202561129</v>
      </c>
      <c r="BB52" s="29" t="e">
        <f t="shared" si="54"/>
        <v>#NUM!</v>
      </c>
      <c r="BC52" s="29" t="e">
        <f t="shared" si="55"/>
        <v>#NUM!</v>
      </c>
      <c r="BD52" s="29" t="e">
        <f t="shared" si="56"/>
        <v>#NUM!</v>
      </c>
      <c r="BE52" s="29">
        <f t="shared" si="57"/>
        <v>0</v>
      </c>
      <c r="BF52" s="5" t="e">
        <f t="shared" si="58"/>
        <v>#NUM!</v>
      </c>
      <c r="BG52" s="29" t="e">
        <f t="shared" si="59"/>
        <v>#NUM!</v>
      </c>
      <c r="BH52" s="29" t="e">
        <f t="shared" si="60"/>
        <v>#NUM!</v>
      </c>
      <c r="BI52" s="29">
        <f t="shared" si="61"/>
        <v>0</v>
      </c>
      <c r="BJ52" s="30" t="e">
        <f t="shared" si="62"/>
        <v>#NUM!</v>
      </c>
      <c r="BK52" s="29" t="e">
        <f t="shared" si="63"/>
        <v>#NUM!</v>
      </c>
      <c r="BL52" s="29" t="e">
        <f t="shared" si="64"/>
        <v>#NUM!</v>
      </c>
      <c r="BM52" s="29">
        <f t="shared" si="65"/>
        <v>0</v>
      </c>
      <c r="BN52" s="5" t="e">
        <f t="shared" si="66"/>
        <v>#NUM!</v>
      </c>
      <c r="BO52" s="4">
        <f t="shared" si="68"/>
        <v>8.2194749199999997</v>
      </c>
      <c r="BP52" s="4">
        <f t="shared" si="69"/>
        <v>-15.77711152</v>
      </c>
      <c r="BQ52">
        <f t="shared" si="70"/>
        <v>8.2194749199999997</v>
      </c>
      <c r="BR52">
        <f t="shared" si="71"/>
        <v>-15.77711152</v>
      </c>
      <c r="BS52">
        <f t="shared" si="44"/>
        <v>1.6706615595841093E-16</v>
      </c>
      <c r="BT52" s="4">
        <f t="shared" si="72"/>
        <v>0.29418182304666912</v>
      </c>
      <c r="BU52" s="1">
        <f t="shared" si="67"/>
        <v>1.643644148734682E-11</v>
      </c>
    </row>
    <row r="53" spans="1:73" x14ac:dyDescent="0.2">
      <c r="A53" s="31">
        <v>36</v>
      </c>
      <c r="B53" t="s">
        <v>35</v>
      </c>
      <c r="C53">
        <f>INDEX(materials_HAMFEM!$C$4:$AU$55,interface!$C$12,A53)</f>
        <v>0</v>
      </c>
      <c r="X53" s="13">
        <v>1</v>
      </c>
      <c r="AY53">
        <f t="shared" si="51"/>
        <v>0</v>
      </c>
      <c r="AZ53" s="5">
        <f t="shared" si="52"/>
        <v>804.6</v>
      </c>
      <c r="BA53" s="5">
        <f t="shared" si="53"/>
        <v>358603.25202561129</v>
      </c>
      <c r="BB53" s="29" t="e">
        <f t="shared" si="54"/>
        <v>#NUM!</v>
      </c>
      <c r="BC53" s="29" t="e">
        <f t="shared" si="55"/>
        <v>#NUM!</v>
      </c>
      <c r="BD53" s="29" t="e">
        <f t="shared" si="56"/>
        <v>#NUM!</v>
      </c>
      <c r="BE53" s="29">
        <f t="shared" si="57"/>
        <v>0</v>
      </c>
      <c r="BF53" s="5" t="e">
        <f t="shared" si="58"/>
        <v>#NUM!</v>
      </c>
      <c r="BG53" s="29" t="e">
        <f t="shared" si="59"/>
        <v>#NUM!</v>
      </c>
      <c r="BH53" s="29" t="e">
        <f t="shared" si="60"/>
        <v>#NUM!</v>
      </c>
      <c r="BI53" s="29">
        <f t="shared" si="61"/>
        <v>0</v>
      </c>
      <c r="BJ53" s="30" t="e">
        <f t="shared" si="62"/>
        <v>#NUM!</v>
      </c>
      <c r="BK53" s="29" t="e">
        <f t="shared" si="63"/>
        <v>#NUM!</v>
      </c>
      <c r="BL53" s="29" t="e">
        <f t="shared" si="64"/>
        <v>#NUM!</v>
      </c>
      <c r="BM53" s="29">
        <f t="shared" si="65"/>
        <v>0</v>
      </c>
      <c r="BN53" s="5" t="e">
        <f t="shared" si="66"/>
        <v>#NUM!</v>
      </c>
      <c r="BO53" s="4">
        <f t="shared" si="68"/>
        <v>8.2194749199999997</v>
      </c>
      <c r="BP53" s="4">
        <f t="shared" si="69"/>
        <v>-15.77711152</v>
      </c>
      <c r="BQ53">
        <f t="shared" si="70"/>
        <v>8.2194749199999997</v>
      </c>
      <c r="BR53">
        <f t="shared" si="71"/>
        <v>-15.77711152</v>
      </c>
      <c r="BS53">
        <f t="shared" si="44"/>
        <v>1.6706615595841093E-16</v>
      </c>
      <c r="BT53" s="4">
        <f t="shared" si="72"/>
        <v>0.29418182304666912</v>
      </c>
      <c r="BU53" s="1">
        <f t="shared" si="67"/>
        <v>1.643644148734682E-11</v>
      </c>
    </row>
    <row r="54" spans="1:73" x14ac:dyDescent="0.2">
      <c r="A54" s="31">
        <v>37</v>
      </c>
      <c r="B54" t="s">
        <v>36</v>
      </c>
      <c r="C54">
        <f>INDEX(materials_HAMFEM!$C$4:$AU$55,interface!$C$12,A54)</f>
        <v>0</v>
      </c>
      <c r="X54" s="13">
        <v>1</v>
      </c>
      <c r="AY54">
        <f t="shared" si="51"/>
        <v>0</v>
      </c>
      <c r="AZ54" s="5">
        <f t="shared" si="52"/>
        <v>804.6</v>
      </c>
      <c r="BA54" s="5">
        <f t="shared" si="53"/>
        <v>358603.25202561129</v>
      </c>
      <c r="BB54" s="29" t="e">
        <f t="shared" si="54"/>
        <v>#NUM!</v>
      </c>
      <c r="BC54" s="29" t="e">
        <f t="shared" si="55"/>
        <v>#NUM!</v>
      </c>
      <c r="BD54" s="29" t="e">
        <f t="shared" si="56"/>
        <v>#NUM!</v>
      </c>
      <c r="BE54" s="29">
        <f t="shared" si="57"/>
        <v>0</v>
      </c>
      <c r="BF54" s="5" t="e">
        <f t="shared" si="58"/>
        <v>#NUM!</v>
      </c>
      <c r="BG54" s="29" t="e">
        <f t="shared" si="59"/>
        <v>#NUM!</v>
      </c>
      <c r="BH54" s="29" t="e">
        <f t="shared" si="60"/>
        <v>#NUM!</v>
      </c>
      <c r="BI54" s="29">
        <f t="shared" si="61"/>
        <v>0</v>
      </c>
      <c r="BJ54" s="30" t="e">
        <f t="shared" si="62"/>
        <v>#NUM!</v>
      </c>
      <c r="BK54" s="29" t="e">
        <f t="shared" si="63"/>
        <v>#NUM!</v>
      </c>
      <c r="BL54" s="29" t="e">
        <f t="shared" si="64"/>
        <v>#NUM!</v>
      </c>
      <c r="BM54" s="29">
        <f t="shared" si="65"/>
        <v>0</v>
      </c>
      <c r="BN54" s="5" t="e">
        <f t="shared" si="66"/>
        <v>#NUM!</v>
      </c>
      <c r="BO54" s="4">
        <f t="shared" si="68"/>
        <v>8.2194749199999997</v>
      </c>
      <c r="BP54" s="4">
        <f t="shared" si="69"/>
        <v>-15.77711152</v>
      </c>
      <c r="BQ54">
        <f t="shared" si="70"/>
        <v>8.2194749199999997</v>
      </c>
      <c r="BR54">
        <f t="shared" si="71"/>
        <v>-15.77711152</v>
      </c>
      <c r="BS54">
        <f t="shared" si="44"/>
        <v>1.6706615595841093E-16</v>
      </c>
      <c r="BT54" s="4">
        <f t="shared" si="72"/>
        <v>0.29418182304666912</v>
      </c>
      <c r="BU54" s="1">
        <f t="shared" si="67"/>
        <v>1.643644148734682E-11</v>
      </c>
    </row>
    <row r="55" spans="1:73" x14ac:dyDescent="0.2">
      <c r="A55" s="31">
        <v>38</v>
      </c>
      <c r="B55" t="s">
        <v>37</v>
      </c>
      <c r="C55">
        <f>INDEX(materials_HAMFEM!$C$4:$AU$55,interface!$C$12,A55)</f>
        <v>0</v>
      </c>
      <c r="X55" s="13">
        <v>1</v>
      </c>
      <c r="AY55">
        <f t="shared" si="51"/>
        <v>0</v>
      </c>
      <c r="AZ55" s="5">
        <f t="shared" si="52"/>
        <v>804.6</v>
      </c>
      <c r="BA55" s="5">
        <f t="shared" si="53"/>
        <v>358603.25202561129</v>
      </c>
      <c r="BB55" s="29" t="e">
        <f t="shared" si="54"/>
        <v>#NUM!</v>
      </c>
      <c r="BC55" s="29" t="e">
        <f t="shared" si="55"/>
        <v>#NUM!</v>
      </c>
      <c r="BD55" s="29" t="e">
        <f t="shared" si="56"/>
        <v>#NUM!</v>
      </c>
      <c r="BE55" s="29">
        <f t="shared" si="57"/>
        <v>0</v>
      </c>
      <c r="BF55" s="5" t="e">
        <f t="shared" si="58"/>
        <v>#NUM!</v>
      </c>
      <c r="BG55" s="29" t="e">
        <f t="shared" si="59"/>
        <v>#NUM!</v>
      </c>
      <c r="BH55" s="29" t="e">
        <f t="shared" si="60"/>
        <v>#NUM!</v>
      </c>
      <c r="BI55" s="29">
        <f t="shared" si="61"/>
        <v>0</v>
      </c>
      <c r="BJ55" s="30" t="e">
        <f t="shared" si="62"/>
        <v>#NUM!</v>
      </c>
      <c r="BK55" s="29" t="e">
        <f t="shared" si="63"/>
        <v>#NUM!</v>
      </c>
      <c r="BL55" s="29" t="e">
        <f t="shared" si="64"/>
        <v>#NUM!</v>
      </c>
      <c r="BM55" s="29">
        <f t="shared" si="65"/>
        <v>0</v>
      </c>
      <c r="BN55" s="5" t="e">
        <f t="shared" si="66"/>
        <v>#NUM!</v>
      </c>
      <c r="BO55" s="4">
        <f t="shared" si="68"/>
        <v>8.2194749199999997</v>
      </c>
      <c r="BP55" s="4">
        <f t="shared" si="69"/>
        <v>-15.77711152</v>
      </c>
      <c r="BQ55">
        <f t="shared" si="70"/>
        <v>8.2194749199999997</v>
      </c>
      <c r="BR55">
        <f t="shared" si="71"/>
        <v>-15.77711152</v>
      </c>
      <c r="BS55">
        <f t="shared" si="44"/>
        <v>1.6706615595841093E-16</v>
      </c>
      <c r="BT55" s="4">
        <f t="shared" si="72"/>
        <v>0.29418182304666912</v>
      </c>
      <c r="BU55" s="1">
        <f t="shared" si="67"/>
        <v>1.643644148734682E-11</v>
      </c>
    </row>
    <row r="56" spans="1:73" x14ac:dyDescent="0.2">
      <c r="A56" s="31">
        <v>39</v>
      </c>
      <c r="B56" t="s">
        <v>38</v>
      </c>
      <c r="C56">
        <f>INDEX(materials_HAMFEM!$C$4:$AU$55,interface!$C$12,A56)</f>
        <v>0</v>
      </c>
      <c r="X56" s="13">
        <v>1</v>
      </c>
      <c r="AY56">
        <f t="shared" si="51"/>
        <v>0</v>
      </c>
      <c r="AZ56" s="5">
        <f t="shared" si="52"/>
        <v>804.6</v>
      </c>
      <c r="BA56" s="5">
        <f t="shared" si="53"/>
        <v>358603.25202561129</v>
      </c>
      <c r="BB56" s="29" t="e">
        <f t="shared" si="54"/>
        <v>#NUM!</v>
      </c>
      <c r="BC56" s="29" t="e">
        <f t="shared" si="55"/>
        <v>#NUM!</v>
      </c>
      <c r="BD56" s="29" t="e">
        <f t="shared" si="56"/>
        <v>#NUM!</v>
      </c>
      <c r="BE56" s="29">
        <f t="shared" si="57"/>
        <v>0</v>
      </c>
      <c r="BF56" s="5" t="e">
        <f t="shared" si="58"/>
        <v>#NUM!</v>
      </c>
      <c r="BG56" s="29" t="e">
        <f t="shared" si="59"/>
        <v>#NUM!</v>
      </c>
      <c r="BH56" s="29" t="e">
        <f t="shared" si="60"/>
        <v>#NUM!</v>
      </c>
      <c r="BI56" s="29">
        <f t="shared" si="61"/>
        <v>0</v>
      </c>
      <c r="BJ56" s="30" t="e">
        <f t="shared" si="62"/>
        <v>#NUM!</v>
      </c>
      <c r="BK56" s="29" t="e">
        <f t="shared" si="63"/>
        <v>#NUM!</v>
      </c>
      <c r="BL56" s="29" t="e">
        <f t="shared" si="64"/>
        <v>#NUM!</v>
      </c>
      <c r="BM56" s="29">
        <f t="shared" si="65"/>
        <v>0</v>
      </c>
      <c r="BN56" s="5" t="e">
        <f t="shared" si="66"/>
        <v>#NUM!</v>
      </c>
      <c r="BO56" s="4">
        <f t="shared" si="68"/>
        <v>8.2194749199999997</v>
      </c>
      <c r="BP56" s="4">
        <f t="shared" si="69"/>
        <v>-15.77711152</v>
      </c>
      <c r="BQ56">
        <f t="shared" si="70"/>
        <v>8.2194749199999997</v>
      </c>
      <c r="BR56">
        <f t="shared" si="71"/>
        <v>-15.77711152</v>
      </c>
      <c r="BS56">
        <f t="shared" si="44"/>
        <v>1.6706615595841093E-16</v>
      </c>
      <c r="BT56" s="4">
        <f t="shared" si="72"/>
        <v>0.29418182304666912</v>
      </c>
      <c r="BU56" s="1">
        <f t="shared" si="67"/>
        <v>1.643644148734682E-11</v>
      </c>
    </row>
    <row r="57" spans="1:73" x14ac:dyDescent="0.2">
      <c r="A57" s="31">
        <v>40</v>
      </c>
      <c r="B57" t="s">
        <v>39</v>
      </c>
      <c r="C57">
        <f>INDEX(materials_HAMFEM!$C$4:$AU$55,interface!$C$12,A57)</f>
        <v>0</v>
      </c>
      <c r="X57" s="13">
        <v>1</v>
      </c>
      <c r="AY57">
        <f t="shared" si="51"/>
        <v>0</v>
      </c>
      <c r="AZ57" s="5">
        <f t="shared" si="52"/>
        <v>804.6</v>
      </c>
      <c r="BA57" s="5">
        <f t="shared" si="53"/>
        <v>358603.25202561129</v>
      </c>
      <c r="BB57" s="29" t="e">
        <f t="shared" si="54"/>
        <v>#NUM!</v>
      </c>
      <c r="BC57" s="29" t="e">
        <f t="shared" si="55"/>
        <v>#NUM!</v>
      </c>
      <c r="BD57" s="29" t="e">
        <f t="shared" si="56"/>
        <v>#NUM!</v>
      </c>
      <c r="BE57" s="29">
        <f t="shared" si="57"/>
        <v>0</v>
      </c>
      <c r="BF57" s="5" t="e">
        <f t="shared" si="58"/>
        <v>#NUM!</v>
      </c>
      <c r="BG57" s="29" t="e">
        <f t="shared" si="59"/>
        <v>#NUM!</v>
      </c>
      <c r="BH57" s="29" t="e">
        <f t="shared" si="60"/>
        <v>#NUM!</v>
      </c>
      <c r="BI57" s="29">
        <f t="shared" si="61"/>
        <v>0</v>
      </c>
      <c r="BJ57" s="30" t="e">
        <f t="shared" si="62"/>
        <v>#NUM!</v>
      </c>
      <c r="BK57" s="29" t="e">
        <f t="shared" si="63"/>
        <v>#NUM!</v>
      </c>
      <c r="BL57" s="29" t="e">
        <f t="shared" si="64"/>
        <v>#NUM!</v>
      </c>
      <c r="BM57" s="29">
        <f t="shared" si="65"/>
        <v>0</v>
      </c>
      <c r="BN57" s="5" t="e">
        <f t="shared" si="66"/>
        <v>#NUM!</v>
      </c>
      <c r="BO57" s="4">
        <f t="shared" si="68"/>
        <v>8.2194749199999997</v>
      </c>
      <c r="BP57" s="4">
        <f t="shared" si="69"/>
        <v>-15.77711152</v>
      </c>
      <c r="BQ57">
        <f t="shared" si="70"/>
        <v>8.2194749199999997</v>
      </c>
      <c r="BR57">
        <f t="shared" si="71"/>
        <v>-15.77711152</v>
      </c>
      <c r="BS57">
        <f t="shared" si="44"/>
        <v>1.6706615595841093E-16</v>
      </c>
      <c r="BT57" s="4">
        <f t="shared" si="72"/>
        <v>0.29418182304666912</v>
      </c>
      <c r="BU57" s="1">
        <f t="shared" si="67"/>
        <v>1.643644148734682E-11</v>
      </c>
    </row>
    <row r="58" spans="1:73" x14ac:dyDescent="0.2">
      <c r="A58" s="31">
        <v>41</v>
      </c>
      <c r="B58" t="s">
        <v>40</v>
      </c>
      <c r="C58">
        <f>INDEX(materials_HAMFEM!$C$4:$AU$55,interface!$C$12,A58)</f>
        <v>0</v>
      </c>
      <c r="X58" s="13">
        <v>1</v>
      </c>
      <c r="AY58">
        <f t="shared" si="51"/>
        <v>0</v>
      </c>
      <c r="AZ58" s="5">
        <f t="shared" si="52"/>
        <v>804.6</v>
      </c>
      <c r="BA58" s="5">
        <f t="shared" si="53"/>
        <v>358603.25202561129</v>
      </c>
      <c r="BB58" s="29" t="e">
        <f t="shared" si="54"/>
        <v>#NUM!</v>
      </c>
      <c r="BC58" s="29" t="e">
        <f t="shared" si="55"/>
        <v>#NUM!</v>
      </c>
      <c r="BD58" s="29" t="e">
        <f t="shared" si="56"/>
        <v>#NUM!</v>
      </c>
      <c r="BE58" s="29">
        <f t="shared" si="57"/>
        <v>0</v>
      </c>
      <c r="BF58" s="5" t="e">
        <f t="shared" si="58"/>
        <v>#NUM!</v>
      </c>
      <c r="BG58" s="29" t="e">
        <f t="shared" si="59"/>
        <v>#NUM!</v>
      </c>
      <c r="BH58" s="29" t="e">
        <f t="shared" si="60"/>
        <v>#NUM!</v>
      </c>
      <c r="BI58" s="29">
        <f t="shared" si="61"/>
        <v>0</v>
      </c>
      <c r="BJ58" s="30" t="e">
        <f t="shared" si="62"/>
        <v>#NUM!</v>
      </c>
      <c r="BK58" s="29" t="e">
        <f t="shared" si="63"/>
        <v>#NUM!</v>
      </c>
      <c r="BL58" s="29" t="e">
        <f t="shared" si="64"/>
        <v>#NUM!</v>
      </c>
      <c r="BM58" s="29">
        <f t="shared" si="65"/>
        <v>0</v>
      </c>
      <c r="BN58" s="5" t="e">
        <f t="shared" si="66"/>
        <v>#NUM!</v>
      </c>
      <c r="BO58" s="4">
        <f t="shared" si="68"/>
        <v>8.2194749199999997</v>
      </c>
      <c r="BP58" s="4">
        <f t="shared" si="69"/>
        <v>-15.77711152</v>
      </c>
      <c r="BQ58">
        <f t="shared" si="70"/>
        <v>8.2194749199999997</v>
      </c>
      <c r="BR58">
        <f t="shared" si="71"/>
        <v>-15.77711152</v>
      </c>
      <c r="BS58">
        <f t="shared" si="44"/>
        <v>1.6706615595841093E-16</v>
      </c>
      <c r="BT58" s="4">
        <f t="shared" si="72"/>
        <v>0.29418182304666912</v>
      </c>
      <c r="BU58" s="1">
        <f t="shared" si="67"/>
        <v>1.643644148734682E-11</v>
      </c>
    </row>
    <row r="59" spans="1:73" x14ac:dyDescent="0.2">
      <c r="A59" s="31">
        <v>42</v>
      </c>
      <c r="B59" t="s">
        <v>41</v>
      </c>
      <c r="C59">
        <f>INDEX(materials_HAMFEM!$C$4:$AU$55,interface!$C$12,A59)</f>
        <v>0</v>
      </c>
      <c r="X59" s="13">
        <v>1</v>
      </c>
      <c r="AY59">
        <f t="shared" si="51"/>
        <v>0</v>
      </c>
      <c r="AZ59" s="5">
        <f t="shared" si="52"/>
        <v>804.6</v>
      </c>
      <c r="BA59" s="5">
        <f t="shared" si="53"/>
        <v>358603.25202561129</v>
      </c>
      <c r="BB59" s="29" t="e">
        <f t="shared" si="54"/>
        <v>#NUM!</v>
      </c>
      <c r="BC59" s="29" t="e">
        <f t="shared" si="55"/>
        <v>#NUM!</v>
      </c>
      <c r="BD59" s="29" t="e">
        <f t="shared" si="56"/>
        <v>#NUM!</v>
      </c>
      <c r="BE59" s="29">
        <f t="shared" si="57"/>
        <v>0</v>
      </c>
      <c r="BF59" s="5" t="e">
        <f t="shared" si="58"/>
        <v>#NUM!</v>
      </c>
      <c r="BG59" s="29" t="e">
        <f t="shared" si="59"/>
        <v>#NUM!</v>
      </c>
      <c r="BH59" s="29" t="e">
        <f t="shared" si="60"/>
        <v>#NUM!</v>
      </c>
      <c r="BI59" s="29">
        <f t="shared" si="61"/>
        <v>0</v>
      </c>
      <c r="BJ59" s="30" t="e">
        <f t="shared" si="62"/>
        <v>#NUM!</v>
      </c>
      <c r="BK59" s="29" t="e">
        <f t="shared" si="63"/>
        <v>#NUM!</v>
      </c>
      <c r="BL59" s="29" t="e">
        <f t="shared" si="64"/>
        <v>#NUM!</v>
      </c>
      <c r="BM59" s="29">
        <f t="shared" si="65"/>
        <v>0</v>
      </c>
      <c r="BN59" s="5" t="e">
        <f t="shared" si="66"/>
        <v>#NUM!</v>
      </c>
      <c r="BO59" s="4">
        <f t="shared" si="68"/>
        <v>8.2194749199999997</v>
      </c>
      <c r="BP59" s="4">
        <f t="shared" si="69"/>
        <v>-15.77711152</v>
      </c>
      <c r="BQ59">
        <f t="shared" si="70"/>
        <v>8.2194749199999997</v>
      </c>
      <c r="BR59">
        <f t="shared" si="71"/>
        <v>-15.77711152</v>
      </c>
      <c r="BS59">
        <f t="shared" si="44"/>
        <v>1.6706615595841093E-16</v>
      </c>
      <c r="BT59" s="4">
        <f t="shared" si="72"/>
        <v>0.29418182304666912</v>
      </c>
      <c r="BU59" s="1">
        <f t="shared" si="67"/>
        <v>1.643644148734682E-11</v>
      </c>
    </row>
    <row r="60" spans="1:73" x14ac:dyDescent="0.2">
      <c r="A60" s="31">
        <v>43</v>
      </c>
      <c r="B60" t="s">
        <v>42</v>
      </c>
      <c r="C60">
        <f>INDEX(materials_HAMFEM!$C$4:$AU$55,interface!$C$12,A60)</f>
        <v>0</v>
      </c>
      <c r="X60" s="13">
        <v>1</v>
      </c>
      <c r="AY60">
        <f t="shared" si="51"/>
        <v>0</v>
      </c>
      <c r="AZ60" s="5">
        <f t="shared" si="52"/>
        <v>804.6</v>
      </c>
      <c r="BA60" s="5">
        <f t="shared" si="53"/>
        <v>358603.25202561129</v>
      </c>
      <c r="BB60" s="29" t="e">
        <f t="shared" si="54"/>
        <v>#NUM!</v>
      </c>
      <c r="BC60" s="29" t="e">
        <f t="shared" si="55"/>
        <v>#NUM!</v>
      </c>
      <c r="BD60" s="29" t="e">
        <f t="shared" si="56"/>
        <v>#NUM!</v>
      </c>
      <c r="BE60" s="29">
        <f t="shared" si="57"/>
        <v>0</v>
      </c>
      <c r="BF60" s="5" t="e">
        <f t="shared" si="58"/>
        <v>#NUM!</v>
      </c>
      <c r="BG60" s="29" t="e">
        <f t="shared" si="59"/>
        <v>#NUM!</v>
      </c>
      <c r="BH60" s="29" t="e">
        <f t="shared" si="60"/>
        <v>#NUM!</v>
      </c>
      <c r="BI60" s="29">
        <f t="shared" si="61"/>
        <v>0</v>
      </c>
      <c r="BJ60" s="30" t="e">
        <f t="shared" si="62"/>
        <v>#NUM!</v>
      </c>
      <c r="BK60" s="29" t="e">
        <f t="shared" si="63"/>
        <v>#NUM!</v>
      </c>
      <c r="BL60" s="29" t="e">
        <f t="shared" si="64"/>
        <v>#NUM!</v>
      </c>
      <c r="BM60" s="29">
        <f t="shared" si="65"/>
        <v>0</v>
      </c>
      <c r="BN60" s="5" t="e">
        <f t="shared" si="66"/>
        <v>#NUM!</v>
      </c>
      <c r="BO60" s="4">
        <f t="shared" si="68"/>
        <v>8.2194749199999997</v>
      </c>
      <c r="BP60" s="4">
        <f t="shared" si="69"/>
        <v>-15.77711152</v>
      </c>
      <c r="BQ60">
        <f t="shared" si="70"/>
        <v>8.2194749199999997</v>
      </c>
      <c r="BR60">
        <f t="shared" si="71"/>
        <v>-15.77711152</v>
      </c>
      <c r="BS60">
        <f t="shared" si="44"/>
        <v>1.6706615595841093E-16</v>
      </c>
      <c r="BT60" s="4">
        <f t="shared" si="72"/>
        <v>0.29418182304666912</v>
      </c>
      <c r="BU60" s="1">
        <f t="shared" si="67"/>
        <v>1.643644148734682E-11</v>
      </c>
    </row>
    <row r="61" spans="1:73" x14ac:dyDescent="0.2">
      <c r="A61" s="31">
        <v>44</v>
      </c>
      <c r="B61" t="s">
        <v>43</v>
      </c>
      <c r="C61">
        <f>INDEX(materials_HAMFEM!$C$4:$AU$55,interface!$C$12,A61)</f>
        <v>0</v>
      </c>
      <c r="X61" s="13">
        <v>1</v>
      </c>
      <c r="AY61">
        <f t="shared" si="51"/>
        <v>0</v>
      </c>
      <c r="AZ61" s="5">
        <f t="shared" si="52"/>
        <v>804.6</v>
      </c>
      <c r="BA61" s="5">
        <f t="shared" si="53"/>
        <v>358603.25202561129</v>
      </c>
      <c r="BB61" s="29" t="e">
        <f t="shared" si="54"/>
        <v>#NUM!</v>
      </c>
      <c r="BC61" s="29" t="e">
        <f t="shared" si="55"/>
        <v>#NUM!</v>
      </c>
      <c r="BD61" s="29" t="e">
        <f t="shared" si="56"/>
        <v>#NUM!</v>
      </c>
      <c r="BE61" s="29">
        <f t="shared" si="57"/>
        <v>0</v>
      </c>
      <c r="BF61" s="5" t="e">
        <f t="shared" si="58"/>
        <v>#NUM!</v>
      </c>
      <c r="BG61" s="29" t="e">
        <f t="shared" si="59"/>
        <v>#NUM!</v>
      </c>
      <c r="BH61" s="29" t="e">
        <f t="shared" si="60"/>
        <v>#NUM!</v>
      </c>
      <c r="BI61" s="29">
        <f t="shared" si="61"/>
        <v>0</v>
      </c>
      <c r="BJ61" s="30" t="e">
        <f t="shared" si="62"/>
        <v>#NUM!</v>
      </c>
      <c r="BK61" s="29" t="e">
        <f t="shared" si="63"/>
        <v>#NUM!</v>
      </c>
      <c r="BL61" s="29" t="e">
        <f t="shared" si="64"/>
        <v>#NUM!</v>
      </c>
      <c r="BM61" s="29">
        <f t="shared" si="65"/>
        <v>0</v>
      </c>
      <c r="BN61" s="5" t="e">
        <f t="shared" si="66"/>
        <v>#NUM!</v>
      </c>
      <c r="BO61" s="4">
        <f t="shared" si="68"/>
        <v>8.2194749199999997</v>
      </c>
      <c r="BP61" s="4">
        <f t="shared" si="69"/>
        <v>-15.77711152</v>
      </c>
      <c r="BQ61">
        <f t="shared" si="70"/>
        <v>8.2194749199999997</v>
      </c>
      <c r="BR61">
        <f t="shared" si="71"/>
        <v>-15.77711152</v>
      </c>
      <c r="BS61">
        <f t="shared" si="44"/>
        <v>1.6706615595841093E-16</v>
      </c>
      <c r="BT61" s="4">
        <f t="shared" si="72"/>
        <v>0.29418182304666912</v>
      </c>
      <c r="BU61" s="1">
        <f t="shared" si="67"/>
        <v>1.643644148734682E-11</v>
      </c>
    </row>
    <row r="62" spans="1:73" x14ac:dyDescent="0.2">
      <c r="A62" s="31">
        <v>45</v>
      </c>
      <c r="B62" t="s">
        <v>44</v>
      </c>
      <c r="C62">
        <f>INDEX(materials_HAMFEM!$C$4:$AU$55,interface!$C$12,A62)</f>
        <v>0</v>
      </c>
      <c r="X62" s="13">
        <v>1</v>
      </c>
      <c r="AY62">
        <f t="shared" si="51"/>
        <v>0</v>
      </c>
      <c r="AZ62" s="5">
        <f t="shared" si="52"/>
        <v>804.6</v>
      </c>
      <c r="BA62" s="5">
        <f t="shared" si="53"/>
        <v>358603.25202561129</v>
      </c>
      <c r="BB62" s="29" t="e">
        <f t="shared" si="54"/>
        <v>#NUM!</v>
      </c>
      <c r="BC62" s="29" t="e">
        <f t="shared" si="55"/>
        <v>#NUM!</v>
      </c>
      <c r="BD62" s="29" t="e">
        <f t="shared" si="56"/>
        <v>#NUM!</v>
      </c>
      <c r="BE62" s="29">
        <f t="shared" si="57"/>
        <v>0</v>
      </c>
      <c r="BF62" s="5" t="e">
        <f t="shared" si="58"/>
        <v>#NUM!</v>
      </c>
      <c r="BG62" s="29" t="e">
        <f t="shared" si="59"/>
        <v>#NUM!</v>
      </c>
      <c r="BH62" s="29" t="e">
        <f t="shared" si="60"/>
        <v>#NUM!</v>
      </c>
      <c r="BI62" s="29">
        <f t="shared" si="61"/>
        <v>0</v>
      </c>
      <c r="BJ62" s="30" t="e">
        <f t="shared" si="62"/>
        <v>#NUM!</v>
      </c>
      <c r="BK62" s="29" t="e">
        <f t="shared" si="63"/>
        <v>#NUM!</v>
      </c>
      <c r="BL62" s="29" t="e">
        <f t="shared" si="64"/>
        <v>#NUM!</v>
      </c>
      <c r="BM62" s="29">
        <f t="shared" si="65"/>
        <v>0</v>
      </c>
      <c r="BN62" s="5" t="e">
        <f t="shared" si="66"/>
        <v>#NUM!</v>
      </c>
      <c r="BO62" s="4">
        <f t="shared" si="68"/>
        <v>8.2194749199999997</v>
      </c>
      <c r="BP62" s="4">
        <f t="shared" si="69"/>
        <v>-15.77711152</v>
      </c>
      <c r="BQ62">
        <f t="shared" si="70"/>
        <v>8.2194749199999997</v>
      </c>
      <c r="BR62">
        <f t="shared" si="71"/>
        <v>-15.77711152</v>
      </c>
      <c r="BS62">
        <f t="shared" si="44"/>
        <v>1.6706615595841093E-16</v>
      </c>
      <c r="BT62" s="4">
        <f t="shared" si="72"/>
        <v>0.29418182304666912</v>
      </c>
      <c r="BU62" s="1">
        <f t="shared" si="67"/>
        <v>1.643644148734682E-11</v>
      </c>
    </row>
    <row r="63" spans="1:73" x14ac:dyDescent="0.2">
      <c r="X63" s="13">
        <v>1</v>
      </c>
      <c r="AY63">
        <f t="shared" si="51"/>
        <v>0</v>
      </c>
      <c r="AZ63" s="5">
        <f t="shared" si="52"/>
        <v>804.6</v>
      </c>
      <c r="BA63" s="5">
        <f t="shared" si="53"/>
        <v>358603.25202561129</v>
      </c>
      <c r="BB63" s="29" t="e">
        <f t="shared" si="54"/>
        <v>#NUM!</v>
      </c>
      <c r="BC63" s="29" t="e">
        <f t="shared" si="55"/>
        <v>#NUM!</v>
      </c>
      <c r="BD63" s="29" t="e">
        <f t="shared" si="56"/>
        <v>#NUM!</v>
      </c>
      <c r="BE63" s="29">
        <f t="shared" si="57"/>
        <v>0</v>
      </c>
      <c r="BF63" s="5" t="e">
        <f t="shared" si="58"/>
        <v>#NUM!</v>
      </c>
      <c r="BG63" s="29" t="e">
        <f t="shared" si="59"/>
        <v>#NUM!</v>
      </c>
      <c r="BH63" s="29" t="e">
        <f t="shared" si="60"/>
        <v>#NUM!</v>
      </c>
      <c r="BI63" s="29">
        <f t="shared" si="61"/>
        <v>0</v>
      </c>
      <c r="BJ63" s="30" t="e">
        <f t="shared" si="62"/>
        <v>#NUM!</v>
      </c>
      <c r="BK63" s="29" t="e">
        <f t="shared" si="63"/>
        <v>#NUM!</v>
      </c>
      <c r="BL63" s="29" t="e">
        <f t="shared" si="64"/>
        <v>#NUM!</v>
      </c>
      <c r="BM63" s="29">
        <f t="shared" si="65"/>
        <v>0</v>
      </c>
      <c r="BN63" s="5" t="e">
        <f t="shared" si="66"/>
        <v>#NUM!</v>
      </c>
      <c r="BO63" s="4">
        <f t="shared" si="68"/>
        <v>8.2194749199999997</v>
      </c>
      <c r="BP63" s="4">
        <f t="shared" si="69"/>
        <v>-15.77711152</v>
      </c>
      <c r="BQ63">
        <f t="shared" si="70"/>
        <v>8.2194749199999997</v>
      </c>
      <c r="BR63">
        <f t="shared" si="71"/>
        <v>-15.77711152</v>
      </c>
      <c r="BS63">
        <f t="shared" si="44"/>
        <v>1.6706615595841093E-16</v>
      </c>
      <c r="BT63" s="4">
        <f t="shared" si="72"/>
        <v>0.29418182304666912</v>
      </c>
      <c r="BU63" s="1">
        <f t="shared" si="67"/>
        <v>1.643644148734682E-11</v>
      </c>
    </row>
    <row r="64" spans="1:73" x14ac:dyDescent="0.2">
      <c r="A64" s="31">
        <v>3</v>
      </c>
      <c r="B64" s="4">
        <f>INDEX('vapour permeability'!$A$1:$AZ$450,A64,$C$12*2-1)</f>
        <v>2.1</v>
      </c>
      <c r="C64" s="4">
        <f>INDEX('vapour permeability'!$A$1:$AZ$450,A64,$C$12*2)</f>
        <v>-8.35</v>
      </c>
      <c r="D64" s="49"/>
      <c r="X64" s="13">
        <v>1</v>
      </c>
      <c r="AY64">
        <f t="shared" si="51"/>
        <v>0</v>
      </c>
      <c r="AZ64" s="5">
        <f t="shared" si="52"/>
        <v>804.6</v>
      </c>
      <c r="BA64" s="5">
        <f t="shared" si="53"/>
        <v>358603.25202561129</v>
      </c>
      <c r="BB64" s="29" t="e">
        <f t="shared" si="54"/>
        <v>#NUM!</v>
      </c>
      <c r="BC64" s="29" t="e">
        <f t="shared" si="55"/>
        <v>#NUM!</v>
      </c>
      <c r="BD64" s="29" t="e">
        <f t="shared" si="56"/>
        <v>#NUM!</v>
      </c>
      <c r="BE64" s="29">
        <f t="shared" si="57"/>
        <v>0</v>
      </c>
      <c r="BF64" s="5" t="e">
        <f t="shared" si="58"/>
        <v>#NUM!</v>
      </c>
      <c r="BG64" s="29" t="e">
        <f t="shared" si="59"/>
        <v>#NUM!</v>
      </c>
      <c r="BH64" s="29" t="e">
        <f t="shared" si="60"/>
        <v>#NUM!</v>
      </c>
      <c r="BI64" s="29">
        <f t="shared" si="61"/>
        <v>0</v>
      </c>
      <c r="BJ64" s="30" t="e">
        <f t="shared" si="62"/>
        <v>#NUM!</v>
      </c>
      <c r="BK64" s="29" t="e">
        <f t="shared" si="63"/>
        <v>#NUM!</v>
      </c>
      <c r="BL64" s="29" t="e">
        <f t="shared" si="64"/>
        <v>#NUM!</v>
      </c>
      <c r="BM64" s="29">
        <f t="shared" si="65"/>
        <v>0</v>
      </c>
      <c r="BN64" s="5" t="e">
        <f t="shared" si="66"/>
        <v>#NUM!</v>
      </c>
      <c r="BO64" s="4">
        <f t="shared" si="68"/>
        <v>8.2194749199999997</v>
      </c>
      <c r="BP64" s="4">
        <f t="shared" si="69"/>
        <v>-15.77711152</v>
      </c>
      <c r="BQ64">
        <f t="shared" si="70"/>
        <v>8.2194749199999997</v>
      </c>
      <c r="BR64">
        <f t="shared" si="71"/>
        <v>-15.77711152</v>
      </c>
      <c r="BS64">
        <f t="shared" si="44"/>
        <v>1.6706615595841093E-16</v>
      </c>
      <c r="BT64" s="4">
        <f t="shared" si="72"/>
        <v>0.29418182304666912</v>
      </c>
      <c r="BU64" s="1">
        <f t="shared" si="67"/>
        <v>1.643644148734682E-11</v>
      </c>
    </row>
    <row r="65" spans="1:73" x14ac:dyDescent="0.2">
      <c r="A65" s="31">
        <v>4</v>
      </c>
      <c r="B65" s="4">
        <f>INDEX('vapour permeability'!$A$1:$AZ$450,A65,$C$12*2-1)</f>
        <v>4</v>
      </c>
      <c r="C65" s="4">
        <f>INDEX('vapour permeability'!$A$1:$AZ$450,A65,$C$12*2)</f>
        <v>-8.35</v>
      </c>
      <c r="D65" s="49"/>
      <c r="X65" s="13">
        <v>1</v>
      </c>
      <c r="AY65">
        <f t="shared" si="51"/>
        <v>0</v>
      </c>
      <c r="AZ65" s="5">
        <f t="shared" si="52"/>
        <v>804.6</v>
      </c>
      <c r="BA65" s="5">
        <f t="shared" si="53"/>
        <v>358603.25202561129</v>
      </c>
      <c r="BB65" s="29" t="e">
        <f t="shared" si="54"/>
        <v>#NUM!</v>
      </c>
      <c r="BC65" s="29" t="e">
        <f t="shared" si="55"/>
        <v>#NUM!</v>
      </c>
      <c r="BD65" s="29" t="e">
        <f t="shared" si="56"/>
        <v>#NUM!</v>
      </c>
      <c r="BE65" s="29">
        <f t="shared" si="57"/>
        <v>0</v>
      </c>
      <c r="BF65" s="5" t="e">
        <f t="shared" si="58"/>
        <v>#NUM!</v>
      </c>
      <c r="BG65" s="29" t="e">
        <f t="shared" si="59"/>
        <v>#NUM!</v>
      </c>
      <c r="BH65" s="29" t="e">
        <f t="shared" si="60"/>
        <v>#NUM!</v>
      </c>
      <c r="BI65" s="29">
        <f t="shared" si="61"/>
        <v>0</v>
      </c>
      <c r="BJ65" s="30" t="e">
        <f t="shared" si="62"/>
        <v>#NUM!</v>
      </c>
      <c r="BK65" s="29" t="e">
        <f t="shared" si="63"/>
        <v>#NUM!</v>
      </c>
      <c r="BL65" s="29" t="e">
        <f t="shared" si="64"/>
        <v>#NUM!</v>
      </c>
      <c r="BM65" s="29">
        <f t="shared" si="65"/>
        <v>0</v>
      </c>
      <c r="BN65" s="5" t="e">
        <f t="shared" si="66"/>
        <v>#NUM!</v>
      </c>
      <c r="BO65" s="4">
        <f t="shared" si="68"/>
        <v>8.2194749199999997</v>
      </c>
      <c r="BP65" s="4">
        <f t="shared" si="69"/>
        <v>-15.77711152</v>
      </c>
      <c r="BQ65">
        <f t="shared" si="70"/>
        <v>8.2194749199999997</v>
      </c>
      <c r="BR65">
        <f t="shared" si="71"/>
        <v>-15.77711152</v>
      </c>
      <c r="BS65">
        <f t="shared" si="44"/>
        <v>1.6706615595841093E-16</v>
      </c>
      <c r="BT65" s="4">
        <f t="shared" si="72"/>
        <v>0.29418182304666912</v>
      </c>
      <c r="BU65" s="1">
        <f t="shared" si="67"/>
        <v>1.643644148734682E-11</v>
      </c>
    </row>
    <row r="66" spans="1:73" x14ac:dyDescent="0.2">
      <c r="A66" s="31">
        <v>5</v>
      </c>
      <c r="B66" s="4">
        <f>INDEX('vapour permeability'!$A$1:$AZ$450,A66,$C$12*2-1)</f>
        <v>5</v>
      </c>
      <c r="C66" s="4">
        <f>INDEX('vapour permeability'!$A$1:$AZ$450,A66,$C$12*2)</f>
        <v>-8.36</v>
      </c>
      <c r="D66" s="49"/>
      <c r="X66" s="13">
        <v>1</v>
      </c>
      <c r="AY66">
        <f t="shared" si="51"/>
        <v>0</v>
      </c>
      <c r="AZ66" s="5">
        <f t="shared" si="52"/>
        <v>804.6</v>
      </c>
      <c r="BA66" s="5">
        <f t="shared" si="53"/>
        <v>358603.25202561129</v>
      </c>
      <c r="BB66" s="29" t="e">
        <f t="shared" si="54"/>
        <v>#NUM!</v>
      </c>
      <c r="BC66" s="29" t="e">
        <f t="shared" si="55"/>
        <v>#NUM!</v>
      </c>
      <c r="BD66" s="29" t="e">
        <f t="shared" si="56"/>
        <v>#NUM!</v>
      </c>
      <c r="BE66" s="29">
        <f t="shared" si="57"/>
        <v>0</v>
      </c>
      <c r="BF66" s="5" t="e">
        <f t="shared" si="58"/>
        <v>#NUM!</v>
      </c>
      <c r="BG66" s="29" t="e">
        <f t="shared" si="59"/>
        <v>#NUM!</v>
      </c>
      <c r="BH66" s="29" t="e">
        <f t="shared" si="60"/>
        <v>#NUM!</v>
      </c>
      <c r="BI66" s="29">
        <f t="shared" si="61"/>
        <v>0</v>
      </c>
      <c r="BJ66" s="30" t="e">
        <f t="shared" si="62"/>
        <v>#NUM!</v>
      </c>
      <c r="BK66" s="29" t="e">
        <f t="shared" si="63"/>
        <v>#NUM!</v>
      </c>
      <c r="BL66" s="29" t="e">
        <f t="shared" si="64"/>
        <v>#NUM!</v>
      </c>
      <c r="BM66" s="29">
        <f t="shared" si="65"/>
        <v>0</v>
      </c>
      <c r="BN66" s="5" t="e">
        <f t="shared" si="66"/>
        <v>#NUM!</v>
      </c>
      <c r="BO66" s="4">
        <f t="shared" si="68"/>
        <v>8.2194749199999997</v>
      </c>
      <c r="BP66" s="4">
        <f t="shared" si="69"/>
        <v>-15.77711152</v>
      </c>
      <c r="BQ66">
        <f t="shared" si="70"/>
        <v>8.2194749199999997</v>
      </c>
      <c r="BR66">
        <f t="shared" si="71"/>
        <v>-15.77711152</v>
      </c>
      <c r="BS66">
        <f t="shared" si="44"/>
        <v>1.6706615595841093E-16</v>
      </c>
      <c r="BT66" s="4">
        <f t="shared" si="72"/>
        <v>0.29418182304666912</v>
      </c>
      <c r="BU66" s="1">
        <f t="shared" si="67"/>
        <v>1.643644148734682E-11</v>
      </c>
    </row>
    <row r="67" spans="1:73" x14ac:dyDescent="0.2">
      <c r="A67" s="31">
        <v>6</v>
      </c>
      <c r="B67" s="4">
        <f>INDEX('vapour permeability'!$A$1:$AZ$450,A67,$C$12*2-1)</f>
        <v>5.4</v>
      </c>
      <c r="C67" s="4">
        <f>INDEX('vapour permeability'!$A$1:$AZ$450,A67,$C$12*2)</f>
        <v>-8.36</v>
      </c>
      <c r="D67" s="49"/>
      <c r="X67" s="13">
        <v>1</v>
      </c>
      <c r="AY67">
        <f t="shared" si="51"/>
        <v>0</v>
      </c>
      <c r="AZ67" s="5">
        <f t="shared" si="52"/>
        <v>804.6</v>
      </c>
      <c r="BA67" s="5">
        <f t="shared" si="53"/>
        <v>358603.25202561129</v>
      </c>
      <c r="BB67" s="29" t="e">
        <f t="shared" si="54"/>
        <v>#NUM!</v>
      </c>
      <c r="BC67" s="29" t="e">
        <f t="shared" si="55"/>
        <v>#NUM!</v>
      </c>
      <c r="BD67" s="29" t="e">
        <f t="shared" si="56"/>
        <v>#NUM!</v>
      </c>
      <c r="BE67" s="29">
        <f t="shared" si="57"/>
        <v>0</v>
      </c>
      <c r="BF67" s="5" t="e">
        <f t="shared" si="58"/>
        <v>#NUM!</v>
      </c>
      <c r="BG67" s="29" t="e">
        <f t="shared" si="59"/>
        <v>#NUM!</v>
      </c>
      <c r="BH67" s="29" t="e">
        <f t="shared" si="60"/>
        <v>#NUM!</v>
      </c>
      <c r="BI67" s="29">
        <f t="shared" si="61"/>
        <v>0</v>
      </c>
      <c r="BJ67" s="30" t="e">
        <f t="shared" si="62"/>
        <v>#NUM!</v>
      </c>
      <c r="BK67" s="29" t="e">
        <f t="shared" si="63"/>
        <v>#NUM!</v>
      </c>
      <c r="BL67" s="29" t="e">
        <f t="shared" si="64"/>
        <v>#NUM!</v>
      </c>
      <c r="BM67" s="29">
        <f t="shared" si="65"/>
        <v>0</v>
      </c>
      <c r="BN67" s="5" t="e">
        <f t="shared" si="66"/>
        <v>#NUM!</v>
      </c>
      <c r="BO67" s="4">
        <f t="shared" si="68"/>
        <v>8.2194749199999997</v>
      </c>
      <c r="BP67" s="4">
        <f t="shared" si="69"/>
        <v>-15.77711152</v>
      </c>
      <c r="BQ67">
        <f t="shared" si="70"/>
        <v>8.2194749199999997</v>
      </c>
      <c r="BR67">
        <f t="shared" si="71"/>
        <v>-15.77711152</v>
      </c>
      <c r="BS67">
        <f t="shared" si="44"/>
        <v>1.6706615595841093E-16</v>
      </c>
      <c r="BT67" s="4">
        <f t="shared" si="72"/>
        <v>0.29418182304666912</v>
      </c>
      <c r="BU67" s="1">
        <f t="shared" si="67"/>
        <v>1.643644148734682E-11</v>
      </c>
    </row>
    <row r="68" spans="1:73" x14ac:dyDescent="0.2">
      <c r="A68" s="31">
        <v>7</v>
      </c>
      <c r="B68" s="4">
        <f>INDEX('vapour permeability'!$A$1:$AZ$450,A68,$C$12*2-1)</f>
        <v>5.5</v>
      </c>
      <c r="C68" s="4">
        <f>INDEX('vapour permeability'!$A$1:$AZ$450,A68,$C$12*2)</f>
        <v>-8.57</v>
      </c>
      <c r="D68" s="49"/>
      <c r="X68" s="13">
        <v>1</v>
      </c>
      <c r="AY68">
        <f t="shared" si="51"/>
        <v>0</v>
      </c>
      <c r="AZ68" s="5">
        <f t="shared" si="52"/>
        <v>804.6</v>
      </c>
      <c r="BA68" s="5">
        <f t="shared" si="53"/>
        <v>358603.25202561129</v>
      </c>
      <c r="BB68" s="29" t="e">
        <f t="shared" si="54"/>
        <v>#NUM!</v>
      </c>
      <c r="BC68" s="29" t="e">
        <f t="shared" si="55"/>
        <v>#NUM!</v>
      </c>
      <c r="BD68" s="29" t="e">
        <f t="shared" si="56"/>
        <v>#NUM!</v>
      </c>
      <c r="BE68" s="29">
        <f t="shared" si="57"/>
        <v>0</v>
      </c>
      <c r="BF68" s="5" t="e">
        <f t="shared" si="58"/>
        <v>#NUM!</v>
      </c>
      <c r="BG68" s="29" t="e">
        <f t="shared" si="59"/>
        <v>#NUM!</v>
      </c>
      <c r="BH68" s="29" t="e">
        <f t="shared" si="60"/>
        <v>#NUM!</v>
      </c>
      <c r="BI68" s="29">
        <f t="shared" si="61"/>
        <v>0</v>
      </c>
      <c r="BJ68" s="30" t="e">
        <f t="shared" si="62"/>
        <v>#NUM!</v>
      </c>
      <c r="BK68" s="29" t="e">
        <f t="shared" si="63"/>
        <v>#NUM!</v>
      </c>
      <c r="BL68" s="29" t="e">
        <f t="shared" si="64"/>
        <v>#NUM!</v>
      </c>
      <c r="BM68" s="29">
        <f t="shared" si="65"/>
        <v>0</v>
      </c>
      <c r="BN68" s="5" t="e">
        <f t="shared" si="66"/>
        <v>#NUM!</v>
      </c>
      <c r="BO68" s="4">
        <f t="shared" si="68"/>
        <v>8.2194749199999997</v>
      </c>
      <c r="BP68" s="4">
        <f t="shared" si="69"/>
        <v>-15.77711152</v>
      </c>
      <c r="BQ68">
        <f t="shared" si="70"/>
        <v>8.2194749199999997</v>
      </c>
      <c r="BR68">
        <f t="shared" si="71"/>
        <v>-15.77711152</v>
      </c>
      <c r="BS68">
        <f t="shared" si="44"/>
        <v>1.6706615595841093E-16</v>
      </c>
      <c r="BT68" s="4">
        <f t="shared" si="72"/>
        <v>0.29418182304666912</v>
      </c>
      <c r="BU68" s="1">
        <f t="shared" si="67"/>
        <v>1.643644148734682E-11</v>
      </c>
    </row>
    <row r="69" spans="1:73" x14ac:dyDescent="0.2">
      <c r="A69" s="31">
        <v>8</v>
      </c>
      <c r="B69" s="4">
        <f>INDEX('vapour permeability'!$A$1:$AZ$450,A69,$C$12*2-1)</f>
        <v>5.6</v>
      </c>
      <c r="C69" s="4">
        <f>INDEX('vapour permeability'!$A$1:$AZ$450,A69,$C$12*2)</f>
        <v>-9.25</v>
      </c>
      <c r="D69" s="49"/>
      <c r="X69" s="13">
        <v>1</v>
      </c>
      <c r="AY69">
        <f t="shared" si="51"/>
        <v>0</v>
      </c>
      <c r="AZ69" s="5">
        <f t="shared" si="52"/>
        <v>804.6</v>
      </c>
      <c r="BA69" s="5">
        <f t="shared" si="53"/>
        <v>358603.25202561129</v>
      </c>
      <c r="BB69" s="29" t="e">
        <f t="shared" si="54"/>
        <v>#NUM!</v>
      </c>
      <c r="BC69" s="29" t="e">
        <f t="shared" si="55"/>
        <v>#NUM!</v>
      </c>
      <c r="BD69" s="29" t="e">
        <f t="shared" si="56"/>
        <v>#NUM!</v>
      </c>
      <c r="BE69" s="29">
        <f t="shared" si="57"/>
        <v>0</v>
      </c>
      <c r="BF69" s="5" t="e">
        <f t="shared" si="58"/>
        <v>#NUM!</v>
      </c>
      <c r="BG69" s="29" t="e">
        <f t="shared" si="59"/>
        <v>#NUM!</v>
      </c>
      <c r="BH69" s="29" t="e">
        <f t="shared" si="60"/>
        <v>#NUM!</v>
      </c>
      <c r="BI69" s="29">
        <f t="shared" si="61"/>
        <v>0</v>
      </c>
      <c r="BJ69" s="30" t="e">
        <f t="shared" si="62"/>
        <v>#NUM!</v>
      </c>
      <c r="BK69" s="29" t="e">
        <f t="shared" si="63"/>
        <v>#NUM!</v>
      </c>
      <c r="BL69" s="29" t="e">
        <f t="shared" si="64"/>
        <v>#NUM!</v>
      </c>
      <c r="BM69" s="29">
        <f t="shared" si="65"/>
        <v>0</v>
      </c>
      <c r="BN69" s="5" t="e">
        <f t="shared" si="66"/>
        <v>#NUM!</v>
      </c>
      <c r="BO69" s="4">
        <f t="shared" si="68"/>
        <v>8.2194749199999997</v>
      </c>
      <c r="BP69" s="4">
        <f t="shared" si="69"/>
        <v>-15.77711152</v>
      </c>
      <c r="BQ69">
        <f t="shared" si="70"/>
        <v>8.2194749199999997</v>
      </c>
      <c r="BR69">
        <f t="shared" si="71"/>
        <v>-15.77711152</v>
      </c>
      <c r="BS69">
        <f t="shared" si="44"/>
        <v>1.6706615595841093E-16</v>
      </c>
      <c r="BT69" s="4">
        <f t="shared" si="72"/>
        <v>0.29418182304666912</v>
      </c>
      <c r="BU69" s="1">
        <f t="shared" si="67"/>
        <v>1.643644148734682E-11</v>
      </c>
    </row>
    <row r="70" spans="1:73" x14ac:dyDescent="0.2">
      <c r="A70" s="31">
        <v>9</v>
      </c>
      <c r="B70" s="4">
        <f>INDEX('vapour permeability'!$A$1:$AZ$450,A70,$C$12*2-1)</f>
        <v>5.6</v>
      </c>
      <c r="C70" s="4">
        <f>INDEX('vapour permeability'!$A$1:$AZ$450,A70,$C$12*2)</f>
        <v>-9.24565166</v>
      </c>
      <c r="D70" s="49"/>
      <c r="X70" s="13">
        <v>1</v>
      </c>
      <c r="AY70">
        <f t="shared" si="51"/>
        <v>0</v>
      </c>
      <c r="AZ70" s="5">
        <f t="shared" si="52"/>
        <v>804.6</v>
      </c>
      <c r="BA70" s="5">
        <f t="shared" si="53"/>
        <v>358603.25202561129</v>
      </c>
      <c r="BB70" s="29" t="e">
        <f t="shared" si="54"/>
        <v>#NUM!</v>
      </c>
      <c r="BC70" s="29" t="e">
        <f t="shared" si="55"/>
        <v>#NUM!</v>
      </c>
      <c r="BD70" s="29" t="e">
        <f t="shared" si="56"/>
        <v>#NUM!</v>
      </c>
      <c r="BE70" s="29">
        <f t="shared" si="57"/>
        <v>0</v>
      </c>
      <c r="BF70" s="5" t="e">
        <f t="shared" si="58"/>
        <v>#NUM!</v>
      </c>
      <c r="BG70" s="29" t="e">
        <f t="shared" si="59"/>
        <v>#NUM!</v>
      </c>
      <c r="BH70" s="29" t="e">
        <f t="shared" si="60"/>
        <v>#NUM!</v>
      </c>
      <c r="BI70" s="29">
        <f t="shared" si="61"/>
        <v>0</v>
      </c>
      <c r="BJ70" s="30" t="e">
        <f t="shared" si="62"/>
        <v>#NUM!</v>
      </c>
      <c r="BK70" s="29" t="e">
        <f t="shared" si="63"/>
        <v>#NUM!</v>
      </c>
      <c r="BL70" s="29" t="e">
        <f t="shared" si="64"/>
        <v>#NUM!</v>
      </c>
      <c r="BM70" s="29">
        <f t="shared" si="65"/>
        <v>0</v>
      </c>
      <c r="BN70" s="5" t="e">
        <f t="shared" si="66"/>
        <v>#NUM!</v>
      </c>
      <c r="BO70" s="4">
        <f t="shared" si="68"/>
        <v>8.2194749199999997</v>
      </c>
      <c r="BP70" s="4">
        <f t="shared" si="69"/>
        <v>-15.77711152</v>
      </c>
      <c r="BQ70">
        <f t="shared" si="70"/>
        <v>8.2194749199999997</v>
      </c>
      <c r="BR70">
        <f t="shared" si="71"/>
        <v>-15.77711152</v>
      </c>
      <c r="BS70">
        <f t="shared" si="44"/>
        <v>1.6706615595841093E-16</v>
      </c>
      <c r="BT70" s="4">
        <f t="shared" si="72"/>
        <v>0.29418182304666912</v>
      </c>
      <c r="BU70" s="1">
        <f t="shared" si="67"/>
        <v>1.643644148734682E-11</v>
      </c>
    </row>
    <row r="71" spans="1:73" x14ac:dyDescent="0.2">
      <c r="A71" s="31">
        <v>10</v>
      </c>
      <c r="B71" s="4">
        <f>INDEX('vapour permeability'!$A$1:$AZ$450,A71,$C$12*2-1)</f>
        <v>5.7</v>
      </c>
      <c r="C71" s="4">
        <f>INDEX('vapour permeability'!$A$1:$AZ$450,A71,$C$12*2)</f>
        <v>-9.9788107000000004</v>
      </c>
      <c r="D71" s="49"/>
      <c r="X71" s="13">
        <v>1</v>
      </c>
      <c r="AY71">
        <f t="shared" si="51"/>
        <v>0</v>
      </c>
      <c r="AZ71" s="5">
        <f t="shared" si="52"/>
        <v>804.6</v>
      </c>
      <c r="BA71" s="5">
        <f t="shared" si="53"/>
        <v>358603.25202561129</v>
      </c>
      <c r="BB71" s="29" t="e">
        <f t="shared" si="54"/>
        <v>#NUM!</v>
      </c>
      <c r="BC71" s="29" t="e">
        <f t="shared" si="55"/>
        <v>#NUM!</v>
      </c>
      <c r="BD71" s="29" t="e">
        <f t="shared" si="56"/>
        <v>#NUM!</v>
      </c>
      <c r="BE71" s="29">
        <f t="shared" si="57"/>
        <v>0</v>
      </c>
      <c r="BF71" s="5" t="e">
        <f t="shared" si="58"/>
        <v>#NUM!</v>
      </c>
      <c r="BG71" s="29" t="e">
        <f t="shared" si="59"/>
        <v>#NUM!</v>
      </c>
      <c r="BH71" s="29" t="e">
        <f t="shared" si="60"/>
        <v>#NUM!</v>
      </c>
      <c r="BI71" s="29">
        <f t="shared" si="61"/>
        <v>0</v>
      </c>
      <c r="BJ71" s="30" t="e">
        <f t="shared" si="62"/>
        <v>#NUM!</v>
      </c>
      <c r="BK71" s="29" t="e">
        <f t="shared" si="63"/>
        <v>#NUM!</v>
      </c>
      <c r="BL71" s="29" t="e">
        <f t="shared" si="64"/>
        <v>#NUM!</v>
      </c>
      <c r="BM71" s="29">
        <f t="shared" si="65"/>
        <v>0</v>
      </c>
      <c r="BN71" s="5" t="e">
        <f t="shared" si="66"/>
        <v>#NUM!</v>
      </c>
      <c r="BO71" s="4">
        <f t="shared" ref="BO71:BO102" si="73">B128</f>
        <v>8.2194749199999997</v>
      </c>
      <c r="BP71" s="4">
        <f t="shared" ref="BP71:BP102" si="74">C128</f>
        <v>-15.77711152</v>
      </c>
      <c r="BQ71">
        <f t="shared" ref="BQ71:BQ102" si="75">IF(C$48=4,BO71,Z71)</f>
        <v>8.2194749199999997</v>
      </c>
      <c r="BR71">
        <f t="shared" ref="BR71:BR102" si="76">IF(C$48=1,AY71,IF(C$48=2,BA71,IF(C$48=3,BN71,BP71)))</f>
        <v>-15.77711152</v>
      </c>
      <c r="BS71">
        <f t="shared" si="44"/>
        <v>1.6706615595841093E-16</v>
      </c>
      <c r="BT71" s="4">
        <f t="shared" ref="BT71:BT102" si="77">IF(C$48=4,EXP(-(10^BQ71)/(($C$9+273.3)*$C$10*$C$11)),X71)</f>
        <v>0.29418182304666912</v>
      </c>
      <c r="BU71" s="1">
        <f t="shared" si="67"/>
        <v>1.643644148734682E-11</v>
      </c>
    </row>
    <row r="72" spans="1:73" x14ac:dyDescent="0.2">
      <c r="A72" s="31">
        <v>11</v>
      </c>
      <c r="B72" s="4">
        <f>INDEX('vapour permeability'!$A$1:$AZ$450,A72,$C$12*2-1)</f>
        <v>5.8</v>
      </c>
      <c r="C72" s="4">
        <f>INDEX('vapour permeability'!$A$1:$AZ$450,A72,$C$12*2)</f>
        <v>-10.53313238</v>
      </c>
      <c r="D72" s="49"/>
      <c r="X72" s="13">
        <v>1</v>
      </c>
      <c r="AY72">
        <f t="shared" si="51"/>
        <v>0</v>
      </c>
      <c r="AZ72" s="5">
        <f t="shared" si="52"/>
        <v>804.6</v>
      </c>
      <c r="BA72" s="5">
        <f t="shared" si="53"/>
        <v>358603.25202561129</v>
      </c>
      <c r="BB72" s="29" t="e">
        <f t="shared" si="54"/>
        <v>#NUM!</v>
      </c>
      <c r="BC72" s="29" t="e">
        <f t="shared" si="55"/>
        <v>#NUM!</v>
      </c>
      <c r="BD72" s="29" t="e">
        <f t="shared" si="56"/>
        <v>#NUM!</v>
      </c>
      <c r="BE72" s="29">
        <f t="shared" si="57"/>
        <v>0</v>
      </c>
      <c r="BF72" s="5" t="e">
        <f t="shared" si="58"/>
        <v>#NUM!</v>
      </c>
      <c r="BG72" s="29" t="e">
        <f t="shared" si="59"/>
        <v>#NUM!</v>
      </c>
      <c r="BH72" s="29" t="e">
        <f t="shared" si="60"/>
        <v>#NUM!</v>
      </c>
      <c r="BI72" s="29">
        <f t="shared" si="61"/>
        <v>0</v>
      </c>
      <c r="BJ72" s="30" t="e">
        <f t="shared" si="62"/>
        <v>#NUM!</v>
      </c>
      <c r="BK72" s="29" t="e">
        <f t="shared" si="63"/>
        <v>#NUM!</v>
      </c>
      <c r="BL72" s="29" t="e">
        <f t="shared" si="64"/>
        <v>#NUM!</v>
      </c>
      <c r="BM72" s="29">
        <f t="shared" si="65"/>
        <v>0</v>
      </c>
      <c r="BN72" s="5" t="e">
        <f t="shared" si="66"/>
        <v>#NUM!</v>
      </c>
      <c r="BO72" s="4">
        <f t="shared" si="73"/>
        <v>8.2194749199999997</v>
      </c>
      <c r="BP72" s="4">
        <f t="shared" si="74"/>
        <v>-15.77711152</v>
      </c>
      <c r="BQ72">
        <f t="shared" si="75"/>
        <v>8.2194749199999997</v>
      </c>
      <c r="BR72">
        <f t="shared" si="76"/>
        <v>-15.77711152</v>
      </c>
      <c r="BS72">
        <f t="shared" ref="BS72:BS135" si="78">10^BR72</f>
        <v>1.6706615595841093E-16</v>
      </c>
      <c r="BT72" s="4">
        <f t="shared" si="77"/>
        <v>0.29418182304666912</v>
      </c>
      <c r="BU72" s="1">
        <f t="shared" si="67"/>
        <v>1.643644148734682E-11</v>
      </c>
    </row>
    <row r="73" spans="1:73" x14ac:dyDescent="0.2">
      <c r="A73" s="31">
        <v>12</v>
      </c>
      <c r="B73" s="4">
        <f>INDEX('vapour permeability'!$A$1:$AZ$450,A73,$C$12*2-1)</f>
        <v>5.9</v>
      </c>
      <c r="C73" s="4">
        <f>INDEX('vapour permeability'!$A$1:$AZ$450,A73,$C$12*2)</f>
        <v>-11.06298389</v>
      </c>
      <c r="D73" s="49"/>
      <c r="X73" s="13">
        <v>1</v>
      </c>
      <c r="AY73">
        <f t="shared" si="51"/>
        <v>0</v>
      </c>
      <c r="AZ73" s="5">
        <f t="shared" si="52"/>
        <v>804.6</v>
      </c>
      <c r="BA73" s="5">
        <f t="shared" si="53"/>
        <v>358603.25202561129</v>
      </c>
      <c r="BB73" s="29" t="e">
        <f t="shared" si="54"/>
        <v>#NUM!</v>
      </c>
      <c r="BC73" s="29" t="e">
        <f t="shared" si="55"/>
        <v>#NUM!</v>
      </c>
      <c r="BD73" s="29" t="e">
        <f t="shared" si="56"/>
        <v>#NUM!</v>
      </c>
      <c r="BE73" s="29">
        <f t="shared" si="57"/>
        <v>0</v>
      </c>
      <c r="BF73" s="5" t="e">
        <f t="shared" si="58"/>
        <v>#NUM!</v>
      </c>
      <c r="BG73" s="29" t="e">
        <f t="shared" si="59"/>
        <v>#NUM!</v>
      </c>
      <c r="BH73" s="29" t="e">
        <f t="shared" si="60"/>
        <v>#NUM!</v>
      </c>
      <c r="BI73" s="29">
        <f t="shared" si="61"/>
        <v>0</v>
      </c>
      <c r="BJ73" s="30" t="e">
        <f t="shared" si="62"/>
        <v>#NUM!</v>
      </c>
      <c r="BK73" s="29" t="e">
        <f t="shared" si="63"/>
        <v>#NUM!</v>
      </c>
      <c r="BL73" s="29" t="e">
        <f t="shared" si="64"/>
        <v>#NUM!</v>
      </c>
      <c r="BM73" s="29">
        <f t="shared" si="65"/>
        <v>0</v>
      </c>
      <c r="BN73" s="5" t="e">
        <f t="shared" si="66"/>
        <v>#NUM!</v>
      </c>
      <c r="BO73" s="4">
        <f t="shared" si="73"/>
        <v>8.2194749199999997</v>
      </c>
      <c r="BP73" s="4">
        <f t="shared" si="74"/>
        <v>-15.77711152</v>
      </c>
      <c r="BQ73">
        <f t="shared" si="75"/>
        <v>8.2194749199999997</v>
      </c>
      <c r="BR73">
        <f t="shared" si="76"/>
        <v>-15.77711152</v>
      </c>
      <c r="BS73">
        <f t="shared" si="78"/>
        <v>1.6706615595841093E-16</v>
      </c>
      <c r="BT73" s="4">
        <f t="shared" si="77"/>
        <v>0.29418182304666912</v>
      </c>
      <c r="BU73" s="1">
        <f t="shared" si="67"/>
        <v>1.643644148734682E-11</v>
      </c>
    </row>
    <row r="74" spans="1:73" x14ac:dyDescent="0.2">
      <c r="A74" s="31">
        <v>13</v>
      </c>
      <c r="B74" s="4">
        <f>INDEX('vapour permeability'!$A$1:$AZ$450,A74,$C$12*2-1)</f>
        <v>6</v>
      </c>
      <c r="C74" s="4">
        <f>INDEX('vapour permeability'!$A$1:$AZ$450,A74,$C$12*2)</f>
        <v>-11.5559552</v>
      </c>
      <c r="D74" s="49"/>
      <c r="X74" s="13">
        <v>1</v>
      </c>
      <c r="AY74">
        <f t="shared" si="51"/>
        <v>0</v>
      </c>
      <c r="AZ74" s="5">
        <f t="shared" si="52"/>
        <v>804.6</v>
      </c>
      <c r="BA74" s="5">
        <f t="shared" si="53"/>
        <v>358603.25202561129</v>
      </c>
      <c r="BB74" s="29" t="e">
        <f t="shared" si="54"/>
        <v>#NUM!</v>
      </c>
      <c r="BC74" s="29" t="e">
        <f t="shared" si="55"/>
        <v>#NUM!</v>
      </c>
      <c r="BD74" s="29" t="e">
        <f t="shared" si="56"/>
        <v>#NUM!</v>
      </c>
      <c r="BE74" s="29">
        <f t="shared" si="57"/>
        <v>0</v>
      </c>
      <c r="BF74" s="5" t="e">
        <f t="shared" si="58"/>
        <v>#NUM!</v>
      </c>
      <c r="BG74" s="29" t="e">
        <f t="shared" si="59"/>
        <v>#NUM!</v>
      </c>
      <c r="BH74" s="29" t="e">
        <f t="shared" si="60"/>
        <v>#NUM!</v>
      </c>
      <c r="BI74" s="29">
        <f t="shared" si="61"/>
        <v>0</v>
      </c>
      <c r="BJ74" s="30" t="e">
        <f t="shared" si="62"/>
        <v>#NUM!</v>
      </c>
      <c r="BK74" s="29" t="e">
        <f t="shared" si="63"/>
        <v>#NUM!</v>
      </c>
      <c r="BL74" s="29" t="e">
        <f t="shared" si="64"/>
        <v>#NUM!</v>
      </c>
      <c r="BM74" s="29">
        <f t="shared" si="65"/>
        <v>0</v>
      </c>
      <c r="BN74" s="5" t="e">
        <f t="shared" si="66"/>
        <v>#NUM!</v>
      </c>
      <c r="BO74" s="4">
        <f t="shared" si="73"/>
        <v>8.2194749199999997</v>
      </c>
      <c r="BP74" s="4">
        <f t="shared" si="74"/>
        <v>-15.77711152</v>
      </c>
      <c r="BQ74">
        <f t="shared" si="75"/>
        <v>8.2194749199999997</v>
      </c>
      <c r="BR74">
        <f t="shared" si="76"/>
        <v>-15.77711152</v>
      </c>
      <c r="BS74">
        <f t="shared" si="78"/>
        <v>1.6706615595841093E-16</v>
      </c>
      <c r="BT74" s="4">
        <f t="shared" si="77"/>
        <v>0.29418182304666912</v>
      </c>
      <c r="BU74" s="1">
        <f t="shared" si="67"/>
        <v>1.643644148734682E-11</v>
      </c>
    </row>
    <row r="75" spans="1:73" x14ac:dyDescent="0.2">
      <c r="A75" s="31">
        <v>14</v>
      </c>
      <c r="B75" s="4">
        <f>INDEX('vapour permeability'!$A$1:$AZ$450,A75,$C$12*2-1)</f>
        <v>6.1</v>
      </c>
      <c r="C75" s="4">
        <f>INDEX('vapour permeability'!$A$1:$AZ$450,A75,$C$12*2)</f>
        <v>-12.000869460000001</v>
      </c>
      <c r="D75" s="49"/>
      <c r="X75" s="13">
        <v>1</v>
      </c>
      <c r="AY75">
        <f t="shared" si="51"/>
        <v>0</v>
      </c>
      <c r="AZ75" s="5">
        <f t="shared" si="52"/>
        <v>804.6</v>
      </c>
      <c r="BA75" s="5">
        <f t="shared" si="53"/>
        <v>358603.25202561129</v>
      </c>
      <c r="BB75" s="29" t="e">
        <f t="shared" si="54"/>
        <v>#NUM!</v>
      </c>
      <c r="BC75" s="29" t="e">
        <f t="shared" si="55"/>
        <v>#NUM!</v>
      </c>
      <c r="BD75" s="29" t="e">
        <f t="shared" si="56"/>
        <v>#NUM!</v>
      </c>
      <c r="BE75" s="29">
        <f t="shared" si="57"/>
        <v>0</v>
      </c>
      <c r="BF75" s="5" t="e">
        <f t="shared" si="58"/>
        <v>#NUM!</v>
      </c>
      <c r="BG75" s="29" t="e">
        <f t="shared" si="59"/>
        <v>#NUM!</v>
      </c>
      <c r="BH75" s="29" t="e">
        <f t="shared" si="60"/>
        <v>#NUM!</v>
      </c>
      <c r="BI75" s="29">
        <f t="shared" si="61"/>
        <v>0</v>
      </c>
      <c r="BJ75" s="30" t="e">
        <f t="shared" si="62"/>
        <v>#NUM!</v>
      </c>
      <c r="BK75" s="29" t="e">
        <f t="shared" si="63"/>
        <v>#NUM!</v>
      </c>
      <c r="BL75" s="29" t="e">
        <f t="shared" si="64"/>
        <v>#NUM!</v>
      </c>
      <c r="BM75" s="29">
        <f t="shared" si="65"/>
        <v>0</v>
      </c>
      <c r="BN75" s="5" t="e">
        <f t="shared" si="66"/>
        <v>#NUM!</v>
      </c>
      <c r="BO75" s="4">
        <f t="shared" si="73"/>
        <v>8.2194749199999997</v>
      </c>
      <c r="BP75" s="4">
        <f t="shared" si="74"/>
        <v>-15.77711152</v>
      </c>
      <c r="BQ75">
        <f t="shared" si="75"/>
        <v>8.2194749199999997</v>
      </c>
      <c r="BR75">
        <f t="shared" si="76"/>
        <v>-15.77711152</v>
      </c>
      <c r="BS75">
        <f t="shared" si="78"/>
        <v>1.6706615595841093E-16</v>
      </c>
      <c r="BT75" s="4">
        <f t="shared" si="77"/>
        <v>0.29418182304666912</v>
      </c>
      <c r="BU75" s="1">
        <f t="shared" si="67"/>
        <v>1.643644148734682E-11</v>
      </c>
    </row>
    <row r="76" spans="1:73" x14ac:dyDescent="0.2">
      <c r="A76" s="31">
        <v>15</v>
      </c>
      <c r="B76" s="4">
        <f>INDEX('vapour permeability'!$A$1:$AZ$450,A76,$C$12*2-1)</f>
        <v>6.2</v>
      </c>
      <c r="C76" s="4">
        <f>INDEX('vapour permeability'!$A$1:$AZ$450,A76,$C$12*2)</f>
        <v>-12.38090667</v>
      </c>
      <c r="D76" s="49"/>
      <c r="X76" s="13">
        <v>1</v>
      </c>
      <c r="AY76">
        <f t="shared" si="51"/>
        <v>0</v>
      </c>
      <c r="AZ76" s="5">
        <f t="shared" si="52"/>
        <v>804.6</v>
      </c>
      <c r="BA76" s="5">
        <f t="shared" si="53"/>
        <v>358603.25202561129</v>
      </c>
      <c r="BB76" s="29" t="e">
        <f t="shared" si="54"/>
        <v>#NUM!</v>
      </c>
      <c r="BC76" s="29" t="e">
        <f t="shared" si="55"/>
        <v>#NUM!</v>
      </c>
      <c r="BD76" s="29" t="e">
        <f t="shared" si="56"/>
        <v>#NUM!</v>
      </c>
      <c r="BE76" s="29">
        <f t="shared" si="57"/>
        <v>0</v>
      </c>
      <c r="BF76" s="5" t="e">
        <f t="shared" si="58"/>
        <v>#NUM!</v>
      </c>
      <c r="BG76" s="29" t="e">
        <f t="shared" si="59"/>
        <v>#NUM!</v>
      </c>
      <c r="BH76" s="29" t="e">
        <f t="shared" si="60"/>
        <v>#NUM!</v>
      </c>
      <c r="BI76" s="29">
        <f t="shared" si="61"/>
        <v>0</v>
      </c>
      <c r="BJ76" s="30" t="e">
        <f t="shared" si="62"/>
        <v>#NUM!</v>
      </c>
      <c r="BK76" s="29" t="e">
        <f t="shared" si="63"/>
        <v>#NUM!</v>
      </c>
      <c r="BL76" s="29" t="e">
        <f t="shared" si="64"/>
        <v>#NUM!</v>
      </c>
      <c r="BM76" s="29">
        <f t="shared" si="65"/>
        <v>0</v>
      </c>
      <c r="BN76" s="5" t="e">
        <f t="shared" si="66"/>
        <v>#NUM!</v>
      </c>
      <c r="BO76" s="4">
        <f t="shared" si="73"/>
        <v>8.2194749199999997</v>
      </c>
      <c r="BP76" s="4">
        <f t="shared" si="74"/>
        <v>-15.77711152</v>
      </c>
      <c r="BQ76">
        <f t="shared" si="75"/>
        <v>8.2194749199999997</v>
      </c>
      <c r="BR76">
        <f t="shared" si="76"/>
        <v>-15.77711152</v>
      </c>
      <c r="BS76">
        <f t="shared" si="78"/>
        <v>1.6706615595841093E-16</v>
      </c>
      <c r="BT76" s="4">
        <f t="shared" si="77"/>
        <v>0.29418182304666912</v>
      </c>
      <c r="BU76" s="1">
        <f t="shared" si="67"/>
        <v>1.643644148734682E-11</v>
      </c>
    </row>
    <row r="77" spans="1:73" x14ac:dyDescent="0.2">
      <c r="A77" s="31">
        <v>16</v>
      </c>
      <c r="B77" s="4">
        <f>INDEX('vapour permeability'!$A$1:$AZ$450,A77,$C$12*2-1)</f>
        <v>6.3</v>
      </c>
      <c r="C77" s="4">
        <f>INDEX('vapour permeability'!$A$1:$AZ$450,A77,$C$12*2)</f>
        <v>-12.705533770000001</v>
      </c>
      <c r="D77" s="49"/>
      <c r="X77" s="13">
        <v>1</v>
      </c>
      <c r="AY77">
        <f t="shared" si="51"/>
        <v>0</v>
      </c>
      <c r="AZ77" s="5">
        <f t="shared" si="52"/>
        <v>804.6</v>
      </c>
      <c r="BA77" s="5">
        <f t="shared" si="53"/>
        <v>358603.25202561129</v>
      </c>
      <c r="BB77" s="29" t="e">
        <f t="shared" si="54"/>
        <v>#NUM!</v>
      </c>
      <c r="BC77" s="29" t="e">
        <f t="shared" si="55"/>
        <v>#NUM!</v>
      </c>
      <c r="BD77" s="29" t="e">
        <f t="shared" si="56"/>
        <v>#NUM!</v>
      </c>
      <c r="BE77" s="29">
        <f t="shared" si="57"/>
        <v>0</v>
      </c>
      <c r="BF77" s="5" t="e">
        <f t="shared" si="58"/>
        <v>#NUM!</v>
      </c>
      <c r="BG77" s="29" t="e">
        <f t="shared" si="59"/>
        <v>#NUM!</v>
      </c>
      <c r="BH77" s="29" t="e">
        <f t="shared" si="60"/>
        <v>#NUM!</v>
      </c>
      <c r="BI77" s="29">
        <f t="shared" si="61"/>
        <v>0</v>
      </c>
      <c r="BJ77" s="30" t="e">
        <f t="shared" si="62"/>
        <v>#NUM!</v>
      </c>
      <c r="BK77" s="29" t="e">
        <f t="shared" si="63"/>
        <v>#NUM!</v>
      </c>
      <c r="BL77" s="29" t="e">
        <f t="shared" si="64"/>
        <v>#NUM!</v>
      </c>
      <c r="BM77" s="29">
        <f t="shared" si="65"/>
        <v>0</v>
      </c>
      <c r="BN77" s="5" t="e">
        <f t="shared" si="66"/>
        <v>#NUM!</v>
      </c>
      <c r="BO77" s="4">
        <f t="shared" si="73"/>
        <v>8.2194749199999997</v>
      </c>
      <c r="BP77" s="4">
        <f t="shared" si="74"/>
        <v>-15.77711152</v>
      </c>
      <c r="BQ77">
        <f t="shared" si="75"/>
        <v>8.2194749199999997</v>
      </c>
      <c r="BR77">
        <f t="shared" si="76"/>
        <v>-15.77711152</v>
      </c>
      <c r="BS77">
        <f t="shared" si="78"/>
        <v>1.6706615595841093E-16</v>
      </c>
      <c r="BT77" s="4">
        <f t="shared" si="77"/>
        <v>0.29418182304666912</v>
      </c>
      <c r="BU77" s="1">
        <f t="shared" si="67"/>
        <v>1.643644148734682E-11</v>
      </c>
    </row>
    <row r="78" spans="1:73" x14ac:dyDescent="0.2">
      <c r="A78" s="31">
        <v>17</v>
      </c>
      <c r="B78" s="4">
        <f>INDEX('vapour permeability'!$A$1:$AZ$450,A78,$C$12*2-1)</f>
        <v>6.4</v>
      </c>
      <c r="C78" s="4">
        <f>INDEX('vapour permeability'!$A$1:$AZ$450,A78,$C$12*2)</f>
        <v>-12.991399830000001</v>
      </c>
      <c r="D78" s="49"/>
      <c r="X78" s="13">
        <v>1</v>
      </c>
      <c r="AY78">
        <f t="shared" si="51"/>
        <v>0</v>
      </c>
      <c r="AZ78" s="5">
        <f t="shared" si="52"/>
        <v>804.6</v>
      </c>
      <c r="BA78" s="5">
        <f t="shared" si="53"/>
        <v>358603.25202561129</v>
      </c>
      <c r="BB78" s="29" t="e">
        <f t="shared" si="54"/>
        <v>#NUM!</v>
      </c>
      <c r="BC78" s="29" t="e">
        <f t="shared" si="55"/>
        <v>#NUM!</v>
      </c>
      <c r="BD78" s="29" t="e">
        <f t="shared" si="56"/>
        <v>#NUM!</v>
      </c>
      <c r="BE78" s="29">
        <f t="shared" si="57"/>
        <v>0</v>
      </c>
      <c r="BF78" s="5" t="e">
        <f t="shared" si="58"/>
        <v>#NUM!</v>
      </c>
      <c r="BG78" s="29" t="e">
        <f t="shared" si="59"/>
        <v>#NUM!</v>
      </c>
      <c r="BH78" s="29" t="e">
        <f t="shared" si="60"/>
        <v>#NUM!</v>
      </c>
      <c r="BI78" s="29">
        <f t="shared" si="61"/>
        <v>0</v>
      </c>
      <c r="BJ78" s="30" t="e">
        <f t="shared" si="62"/>
        <v>#NUM!</v>
      </c>
      <c r="BK78" s="29" t="e">
        <f t="shared" si="63"/>
        <v>#NUM!</v>
      </c>
      <c r="BL78" s="29" t="e">
        <f t="shared" si="64"/>
        <v>#NUM!</v>
      </c>
      <c r="BM78" s="29">
        <f t="shared" si="65"/>
        <v>0</v>
      </c>
      <c r="BN78" s="5" t="e">
        <f t="shared" si="66"/>
        <v>#NUM!</v>
      </c>
      <c r="BO78" s="4">
        <f t="shared" si="73"/>
        <v>8.2194749199999997</v>
      </c>
      <c r="BP78" s="4">
        <f t="shared" si="74"/>
        <v>-15.77711152</v>
      </c>
      <c r="BQ78">
        <f t="shared" si="75"/>
        <v>8.2194749199999997</v>
      </c>
      <c r="BR78">
        <f t="shared" si="76"/>
        <v>-15.77711152</v>
      </c>
      <c r="BS78">
        <f t="shared" si="78"/>
        <v>1.6706615595841093E-16</v>
      </c>
      <c r="BT78" s="4">
        <f t="shared" si="77"/>
        <v>0.29418182304666912</v>
      </c>
      <c r="BU78" s="1">
        <f t="shared" si="67"/>
        <v>1.643644148734682E-11</v>
      </c>
    </row>
    <row r="79" spans="1:73" x14ac:dyDescent="0.2">
      <c r="A79" s="31">
        <v>18</v>
      </c>
      <c r="B79" s="4">
        <f>INDEX('vapour permeability'!$A$1:$AZ$450,A79,$C$12*2-1)</f>
        <v>6.5</v>
      </c>
      <c r="C79" s="4">
        <f>INDEX('vapour permeability'!$A$1:$AZ$450,A79,$C$12*2)</f>
        <v>-13.25649024</v>
      </c>
      <c r="D79" s="49"/>
      <c r="X79" s="13">
        <v>1</v>
      </c>
      <c r="AY79">
        <f t="shared" si="51"/>
        <v>0</v>
      </c>
      <c r="AZ79" s="5">
        <f t="shared" si="52"/>
        <v>804.6</v>
      </c>
      <c r="BA79" s="5">
        <f t="shared" si="53"/>
        <v>358603.25202561129</v>
      </c>
      <c r="BB79" s="29" t="e">
        <f t="shared" si="54"/>
        <v>#NUM!</v>
      </c>
      <c r="BC79" s="29" t="e">
        <f t="shared" si="55"/>
        <v>#NUM!</v>
      </c>
      <c r="BD79" s="29" t="e">
        <f t="shared" si="56"/>
        <v>#NUM!</v>
      </c>
      <c r="BE79" s="29">
        <f t="shared" si="57"/>
        <v>0</v>
      </c>
      <c r="BF79" s="5" t="e">
        <f t="shared" si="58"/>
        <v>#NUM!</v>
      </c>
      <c r="BG79" s="29" t="e">
        <f t="shared" si="59"/>
        <v>#NUM!</v>
      </c>
      <c r="BH79" s="29" t="e">
        <f t="shared" si="60"/>
        <v>#NUM!</v>
      </c>
      <c r="BI79" s="29">
        <f t="shared" si="61"/>
        <v>0</v>
      </c>
      <c r="BJ79" s="30" t="e">
        <f t="shared" si="62"/>
        <v>#NUM!</v>
      </c>
      <c r="BK79" s="29" t="e">
        <f t="shared" si="63"/>
        <v>#NUM!</v>
      </c>
      <c r="BL79" s="29" t="e">
        <f t="shared" si="64"/>
        <v>#NUM!</v>
      </c>
      <c r="BM79" s="29">
        <f t="shared" si="65"/>
        <v>0</v>
      </c>
      <c r="BN79" s="5" t="e">
        <f t="shared" si="66"/>
        <v>#NUM!</v>
      </c>
      <c r="BO79" s="4">
        <f t="shared" si="73"/>
        <v>8.2194749199999997</v>
      </c>
      <c r="BP79" s="4">
        <f t="shared" si="74"/>
        <v>-15.77711152</v>
      </c>
      <c r="BQ79">
        <f t="shared" si="75"/>
        <v>8.2194749199999997</v>
      </c>
      <c r="BR79">
        <f t="shared" si="76"/>
        <v>-15.77711152</v>
      </c>
      <c r="BS79">
        <f t="shared" si="78"/>
        <v>1.6706615595841093E-16</v>
      </c>
      <c r="BT79" s="4">
        <f t="shared" si="77"/>
        <v>0.29418182304666912</v>
      </c>
      <c r="BU79" s="1">
        <f t="shared" si="67"/>
        <v>1.643644148734682E-11</v>
      </c>
    </row>
    <row r="80" spans="1:73" x14ac:dyDescent="0.2">
      <c r="A80" s="31">
        <v>19</v>
      </c>
      <c r="B80" s="4">
        <f>INDEX('vapour permeability'!$A$1:$AZ$450,A80,$C$12*2-1)</f>
        <v>6.6</v>
      </c>
      <c r="C80" s="4">
        <f>INDEX('vapour permeability'!$A$1:$AZ$450,A80,$C$12*2)</f>
        <v>-13.50445566</v>
      </c>
      <c r="D80" s="49"/>
      <c r="X80" s="13">
        <v>1</v>
      </c>
      <c r="AY80">
        <f t="shared" si="51"/>
        <v>0</v>
      </c>
      <c r="AZ80" s="5">
        <f t="shared" si="52"/>
        <v>804.6</v>
      </c>
      <c r="BA80" s="5">
        <f t="shared" si="53"/>
        <v>358603.25202561129</v>
      </c>
      <c r="BB80" s="29" t="e">
        <f t="shared" si="54"/>
        <v>#NUM!</v>
      </c>
      <c r="BC80" s="29" t="e">
        <f t="shared" si="55"/>
        <v>#NUM!</v>
      </c>
      <c r="BD80" s="29" t="e">
        <f t="shared" si="56"/>
        <v>#NUM!</v>
      </c>
      <c r="BE80" s="29">
        <f t="shared" si="57"/>
        <v>0</v>
      </c>
      <c r="BF80" s="5" t="e">
        <f t="shared" si="58"/>
        <v>#NUM!</v>
      </c>
      <c r="BG80" s="29" t="e">
        <f t="shared" si="59"/>
        <v>#NUM!</v>
      </c>
      <c r="BH80" s="29" t="e">
        <f t="shared" si="60"/>
        <v>#NUM!</v>
      </c>
      <c r="BI80" s="29">
        <f t="shared" si="61"/>
        <v>0</v>
      </c>
      <c r="BJ80" s="30" t="e">
        <f t="shared" si="62"/>
        <v>#NUM!</v>
      </c>
      <c r="BK80" s="29" t="e">
        <f t="shared" si="63"/>
        <v>#NUM!</v>
      </c>
      <c r="BL80" s="29" t="e">
        <f t="shared" si="64"/>
        <v>#NUM!</v>
      </c>
      <c r="BM80" s="29">
        <f t="shared" si="65"/>
        <v>0</v>
      </c>
      <c r="BN80" s="5" t="e">
        <f t="shared" si="66"/>
        <v>#NUM!</v>
      </c>
      <c r="BO80" s="4">
        <f t="shared" si="73"/>
        <v>8.2194749199999997</v>
      </c>
      <c r="BP80" s="4">
        <f t="shared" si="74"/>
        <v>-15.77711152</v>
      </c>
      <c r="BQ80">
        <f t="shared" si="75"/>
        <v>8.2194749199999997</v>
      </c>
      <c r="BR80">
        <f t="shared" si="76"/>
        <v>-15.77711152</v>
      </c>
      <c r="BS80">
        <f t="shared" si="78"/>
        <v>1.6706615595841093E-16</v>
      </c>
      <c r="BT80" s="4">
        <f t="shared" si="77"/>
        <v>0.29418182304666912</v>
      </c>
      <c r="BU80" s="1">
        <f t="shared" si="67"/>
        <v>1.643644148734682E-11</v>
      </c>
    </row>
    <row r="81" spans="1:73" x14ac:dyDescent="0.2">
      <c r="A81" s="31">
        <v>20</v>
      </c>
      <c r="B81" s="4">
        <f>INDEX('vapour permeability'!$A$1:$AZ$450,A81,$C$12*2-1)</f>
        <v>6.7</v>
      </c>
      <c r="C81" s="4">
        <f>INDEX('vapour permeability'!$A$1:$AZ$450,A81,$C$12*2)</f>
        <v>-13.73992861</v>
      </c>
      <c r="D81" s="49"/>
      <c r="X81" s="13">
        <v>1</v>
      </c>
      <c r="AY81">
        <f t="shared" si="51"/>
        <v>0</v>
      </c>
      <c r="AZ81" s="5">
        <f t="shared" si="52"/>
        <v>804.6</v>
      </c>
      <c r="BA81" s="5">
        <f t="shared" si="53"/>
        <v>358603.25202561129</v>
      </c>
      <c r="BB81" s="29" t="e">
        <f t="shared" si="54"/>
        <v>#NUM!</v>
      </c>
      <c r="BC81" s="29" t="e">
        <f t="shared" si="55"/>
        <v>#NUM!</v>
      </c>
      <c r="BD81" s="29" t="e">
        <f t="shared" si="56"/>
        <v>#NUM!</v>
      </c>
      <c r="BE81" s="29">
        <f t="shared" si="57"/>
        <v>0</v>
      </c>
      <c r="BF81" s="5" t="e">
        <f t="shared" si="58"/>
        <v>#NUM!</v>
      </c>
      <c r="BG81" s="29" t="e">
        <f t="shared" si="59"/>
        <v>#NUM!</v>
      </c>
      <c r="BH81" s="29" t="e">
        <f t="shared" si="60"/>
        <v>#NUM!</v>
      </c>
      <c r="BI81" s="29">
        <f t="shared" si="61"/>
        <v>0</v>
      </c>
      <c r="BJ81" s="30" t="e">
        <f t="shared" si="62"/>
        <v>#NUM!</v>
      </c>
      <c r="BK81" s="29" t="e">
        <f t="shared" si="63"/>
        <v>#NUM!</v>
      </c>
      <c r="BL81" s="29" t="e">
        <f t="shared" si="64"/>
        <v>#NUM!</v>
      </c>
      <c r="BM81" s="29">
        <f t="shared" si="65"/>
        <v>0</v>
      </c>
      <c r="BN81" s="5" t="e">
        <f t="shared" si="66"/>
        <v>#NUM!</v>
      </c>
      <c r="BO81" s="4">
        <f t="shared" si="73"/>
        <v>8.2194749199999997</v>
      </c>
      <c r="BP81" s="4">
        <f t="shared" si="74"/>
        <v>-15.77711152</v>
      </c>
      <c r="BQ81">
        <f t="shared" si="75"/>
        <v>8.2194749199999997</v>
      </c>
      <c r="BR81">
        <f t="shared" si="76"/>
        <v>-15.77711152</v>
      </c>
      <c r="BS81">
        <f t="shared" si="78"/>
        <v>1.6706615595841093E-16</v>
      </c>
      <c r="BT81" s="4">
        <f t="shared" si="77"/>
        <v>0.29418182304666912</v>
      </c>
      <c r="BU81" s="1">
        <f t="shared" si="67"/>
        <v>1.643644148734682E-11</v>
      </c>
    </row>
    <row r="82" spans="1:73" x14ac:dyDescent="0.2">
      <c r="A82" s="31">
        <v>21</v>
      </c>
      <c r="B82" s="4">
        <f>INDEX('vapour permeability'!$A$1:$AZ$450,A82,$C$12*2-1)</f>
        <v>6.8</v>
      </c>
      <c r="C82" s="4">
        <f>INDEX('vapour permeability'!$A$1:$AZ$450,A82,$C$12*2)</f>
        <v>-13.96657624</v>
      </c>
      <c r="D82" s="49"/>
      <c r="X82" s="13">
        <v>1</v>
      </c>
      <c r="AY82">
        <f t="shared" si="51"/>
        <v>0</v>
      </c>
      <c r="AZ82" s="5">
        <f t="shared" si="52"/>
        <v>804.6</v>
      </c>
      <c r="BA82" s="5">
        <f t="shared" si="53"/>
        <v>358603.25202561129</v>
      </c>
      <c r="BB82" s="29" t="e">
        <f t="shared" si="54"/>
        <v>#NUM!</v>
      </c>
      <c r="BC82" s="29" t="e">
        <f t="shared" si="55"/>
        <v>#NUM!</v>
      </c>
      <c r="BD82" s="29" t="e">
        <f t="shared" si="56"/>
        <v>#NUM!</v>
      </c>
      <c r="BE82" s="29">
        <f t="shared" si="57"/>
        <v>0</v>
      </c>
      <c r="BF82" s="5" t="e">
        <f t="shared" si="58"/>
        <v>#NUM!</v>
      </c>
      <c r="BG82" s="29" t="e">
        <f t="shared" si="59"/>
        <v>#NUM!</v>
      </c>
      <c r="BH82" s="29" t="e">
        <f t="shared" si="60"/>
        <v>#NUM!</v>
      </c>
      <c r="BI82" s="29">
        <f t="shared" si="61"/>
        <v>0</v>
      </c>
      <c r="BJ82" s="30" t="e">
        <f t="shared" si="62"/>
        <v>#NUM!</v>
      </c>
      <c r="BK82" s="29" t="e">
        <f t="shared" si="63"/>
        <v>#NUM!</v>
      </c>
      <c r="BL82" s="29" t="e">
        <f t="shared" si="64"/>
        <v>#NUM!</v>
      </c>
      <c r="BM82" s="29">
        <f t="shared" si="65"/>
        <v>0</v>
      </c>
      <c r="BN82" s="5" t="e">
        <f t="shared" si="66"/>
        <v>#NUM!</v>
      </c>
      <c r="BO82" s="4">
        <f t="shared" si="73"/>
        <v>8.2194749199999997</v>
      </c>
      <c r="BP82" s="4">
        <f t="shared" si="74"/>
        <v>-15.77711152</v>
      </c>
      <c r="BQ82">
        <f t="shared" si="75"/>
        <v>8.2194749199999997</v>
      </c>
      <c r="BR82">
        <f t="shared" si="76"/>
        <v>-15.77711152</v>
      </c>
      <c r="BS82">
        <f t="shared" si="78"/>
        <v>1.6706615595841093E-16</v>
      </c>
      <c r="BT82" s="4">
        <f t="shared" si="77"/>
        <v>0.29418182304666912</v>
      </c>
      <c r="BU82" s="1">
        <f t="shared" si="67"/>
        <v>1.643644148734682E-11</v>
      </c>
    </row>
    <row r="83" spans="1:73" x14ac:dyDescent="0.2">
      <c r="A83" s="31">
        <v>22</v>
      </c>
      <c r="B83" s="4">
        <f>INDEX('vapour permeability'!$A$1:$AZ$450,A83,$C$12*2-1)</f>
        <v>6.9</v>
      </c>
      <c r="C83" s="4">
        <f>INDEX('vapour permeability'!$A$1:$AZ$450,A83,$C$12*2)</f>
        <v>-14.187755299999999</v>
      </c>
      <c r="D83" s="49"/>
      <c r="X83" s="13">
        <v>1</v>
      </c>
      <c r="AY83">
        <f t="shared" si="51"/>
        <v>0</v>
      </c>
      <c r="AZ83" s="5">
        <f t="shared" si="52"/>
        <v>804.6</v>
      </c>
      <c r="BA83" s="5">
        <f t="shared" si="53"/>
        <v>358603.25202561129</v>
      </c>
      <c r="BB83" s="29" t="e">
        <f t="shared" si="54"/>
        <v>#NUM!</v>
      </c>
      <c r="BC83" s="29" t="e">
        <f t="shared" si="55"/>
        <v>#NUM!</v>
      </c>
      <c r="BD83" s="29" t="e">
        <f t="shared" si="56"/>
        <v>#NUM!</v>
      </c>
      <c r="BE83" s="29">
        <f t="shared" si="57"/>
        <v>0</v>
      </c>
      <c r="BF83" s="5" t="e">
        <f t="shared" si="58"/>
        <v>#NUM!</v>
      </c>
      <c r="BG83" s="29" t="e">
        <f t="shared" si="59"/>
        <v>#NUM!</v>
      </c>
      <c r="BH83" s="29" t="e">
        <f t="shared" si="60"/>
        <v>#NUM!</v>
      </c>
      <c r="BI83" s="29">
        <f t="shared" si="61"/>
        <v>0</v>
      </c>
      <c r="BJ83" s="30" t="e">
        <f t="shared" si="62"/>
        <v>#NUM!</v>
      </c>
      <c r="BK83" s="29" t="e">
        <f t="shared" si="63"/>
        <v>#NUM!</v>
      </c>
      <c r="BL83" s="29" t="e">
        <f t="shared" si="64"/>
        <v>#NUM!</v>
      </c>
      <c r="BM83" s="29">
        <f t="shared" si="65"/>
        <v>0</v>
      </c>
      <c r="BN83" s="5" t="e">
        <f t="shared" si="66"/>
        <v>#NUM!</v>
      </c>
      <c r="BO83" s="4">
        <f t="shared" si="73"/>
        <v>8.2194749199999997</v>
      </c>
      <c r="BP83" s="4">
        <f t="shared" si="74"/>
        <v>-15.77711152</v>
      </c>
      <c r="BQ83">
        <f t="shared" si="75"/>
        <v>8.2194749199999997</v>
      </c>
      <c r="BR83">
        <f t="shared" si="76"/>
        <v>-15.77711152</v>
      </c>
      <c r="BS83">
        <f t="shared" si="78"/>
        <v>1.6706615595841093E-16</v>
      </c>
      <c r="BT83" s="4">
        <f t="shared" si="77"/>
        <v>0.29418182304666912</v>
      </c>
      <c r="BU83" s="1">
        <f t="shared" si="67"/>
        <v>1.643644148734682E-11</v>
      </c>
    </row>
    <row r="84" spans="1:73" x14ac:dyDescent="0.2">
      <c r="A84" s="31">
        <v>23</v>
      </c>
      <c r="B84" s="4">
        <f>INDEX('vapour permeability'!$A$1:$AZ$450,A84,$C$12*2-1)</f>
        <v>7</v>
      </c>
      <c r="C84" s="4">
        <f>INDEX('vapour permeability'!$A$1:$AZ$450,A84,$C$12*2)</f>
        <v>-14.401209489999999</v>
      </c>
      <c r="D84" s="49"/>
      <c r="X84" s="13">
        <v>1</v>
      </c>
      <c r="AY84">
        <f t="shared" si="51"/>
        <v>0</v>
      </c>
      <c r="AZ84" s="5">
        <f t="shared" si="52"/>
        <v>804.6</v>
      </c>
      <c r="BA84" s="5">
        <f t="shared" si="53"/>
        <v>358603.25202561129</v>
      </c>
      <c r="BB84" s="29" t="e">
        <f t="shared" si="54"/>
        <v>#NUM!</v>
      </c>
      <c r="BC84" s="29" t="e">
        <f t="shared" si="55"/>
        <v>#NUM!</v>
      </c>
      <c r="BD84" s="29" t="e">
        <f t="shared" si="56"/>
        <v>#NUM!</v>
      </c>
      <c r="BE84" s="29">
        <f t="shared" si="57"/>
        <v>0</v>
      </c>
      <c r="BF84" s="5" t="e">
        <f t="shared" si="58"/>
        <v>#NUM!</v>
      </c>
      <c r="BG84" s="29" t="e">
        <f t="shared" si="59"/>
        <v>#NUM!</v>
      </c>
      <c r="BH84" s="29" t="e">
        <f t="shared" si="60"/>
        <v>#NUM!</v>
      </c>
      <c r="BI84" s="29">
        <f t="shared" si="61"/>
        <v>0</v>
      </c>
      <c r="BJ84" s="30" t="e">
        <f t="shared" si="62"/>
        <v>#NUM!</v>
      </c>
      <c r="BK84" s="29" t="e">
        <f t="shared" si="63"/>
        <v>#NUM!</v>
      </c>
      <c r="BL84" s="29" t="e">
        <f t="shared" si="64"/>
        <v>#NUM!</v>
      </c>
      <c r="BM84" s="29">
        <f t="shared" si="65"/>
        <v>0</v>
      </c>
      <c r="BN84" s="5" t="e">
        <f t="shared" si="66"/>
        <v>#NUM!</v>
      </c>
      <c r="BO84" s="4">
        <f t="shared" si="73"/>
        <v>8.2194749199999997</v>
      </c>
      <c r="BP84" s="4">
        <f t="shared" si="74"/>
        <v>-15.77711152</v>
      </c>
      <c r="BQ84">
        <f t="shared" si="75"/>
        <v>8.2194749199999997</v>
      </c>
      <c r="BR84">
        <f t="shared" si="76"/>
        <v>-15.77711152</v>
      </c>
      <c r="BS84">
        <f t="shared" si="78"/>
        <v>1.6706615595841093E-16</v>
      </c>
      <c r="BT84" s="4">
        <f t="shared" si="77"/>
        <v>0.29418182304666912</v>
      </c>
      <c r="BU84" s="1">
        <f t="shared" si="67"/>
        <v>1.643644148734682E-11</v>
      </c>
    </row>
    <row r="85" spans="1:73" x14ac:dyDescent="0.2">
      <c r="A85" s="31">
        <v>24</v>
      </c>
      <c r="B85" s="4">
        <f>INDEX('vapour permeability'!$A$1:$AZ$450,A85,$C$12*2-1)</f>
        <v>7.0599285099999998</v>
      </c>
      <c r="C85" s="4">
        <f>INDEX('vapour permeability'!$A$1:$AZ$450,A85,$C$12*2)</f>
        <v>-14.44838395</v>
      </c>
      <c r="D85" s="49"/>
      <c r="X85" s="13">
        <v>1</v>
      </c>
      <c r="AY85">
        <f t="shared" si="51"/>
        <v>0</v>
      </c>
      <c r="AZ85" s="5">
        <f t="shared" si="52"/>
        <v>804.6</v>
      </c>
      <c r="BA85" s="5">
        <f t="shared" si="53"/>
        <v>358603.25202561129</v>
      </c>
      <c r="BB85" s="29" t="e">
        <f t="shared" si="54"/>
        <v>#NUM!</v>
      </c>
      <c r="BC85" s="29" t="e">
        <f t="shared" si="55"/>
        <v>#NUM!</v>
      </c>
      <c r="BD85" s="29" t="e">
        <f t="shared" si="56"/>
        <v>#NUM!</v>
      </c>
      <c r="BE85" s="29">
        <f t="shared" si="57"/>
        <v>0</v>
      </c>
      <c r="BF85" s="5" t="e">
        <f t="shared" si="58"/>
        <v>#NUM!</v>
      </c>
      <c r="BG85" s="29" t="e">
        <f t="shared" si="59"/>
        <v>#NUM!</v>
      </c>
      <c r="BH85" s="29" t="e">
        <f t="shared" si="60"/>
        <v>#NUM!</v>
      </c>
      <c r="BI85" s="29">
        <f t="shared" si="61"/>
        <v>0</v>
      </c>
      <c r="BJ85" s="30" t="e">
        <f t="shared" si="62"/>
        <v>#NUM!</v>
      </c>
      <c r="BK85" s="29" t="e">
        <f t="shared" si="63"/>
        <v>#NUM!</v>
      </c>
      <c r="BL85" s="29" t="e">
        <f t="shared" si="64"/>
        <v>#NUM!</v>
      </c>
      <c r="BM85" s="29">
        <f t="shared" si="65"/>
        <v>0</v>
      </c>
      <c r="BN85" s="5" t="e">
        <f t="shared" si="66"/>
        <v>#NUM!</v>
      </c>
      <c r="BO85" s="4">
        <f t="shared" si="73"/>
        <v>8.2194749199999997</v>
      </c>
      <c r="BP85" s="4">
        <f t="shared" si="74"/>
        <v>-15.77711152</v>
      </c>
      <c r="BQ85">
        <f t="shared" si="75"/>
        <v>8.2194749199999997</v>
      </c>
      <c r="BR85">
        <f t="shared" si="76"/>
        <v>-15.77711152</v>
      </c>
      <c r="BS85">
        <f t="shared" si="78"/>
        <v>1.6706615595841093E-16</v>
      </c>
      <c r="BT85" s="4">
        <f t="shared" si="77"/>
        <v>0.29418182304666912</v>
      </c>
      <c r="BU85" s="1">
        <f t="shared" ref="BU85:BU148" si="79">BU84</f>
        <v>1.643644148734682E-11</v>
      </c>
    </row>
    <row r="86" spans="1:73" x14ac:dyDescent="0.2">
      <c r="A86" s="31">
        <v>25</v>
      </c>
      <c r="B86" s="4">
        <f>INDEX('vapour permeability'!$A$1:$AZ$450,A86,$C$12*2-1)</f>
        <v>7.6911308399999996</v>
      </c>
      <c r="C86" s="4">
        <f>INDEX('vapour permeability'!$A$1:$AZ$450,A86,$C$12*2)</f>
        <v>-15.3539636</v>
      </c>
      <c r="D86" s="49"/>
      <c r="X86" s="13">
        <v>1</v>
      </c>
      <c r="AY86">
        <f t="shared" ref="AY86:AY149" si="80">AY85</f>
        <v>0</v>
      </c>
      <c r="AZ86" s="5">
        <f t="shared" ref="AZ86:AZ149" si="81">AZ85</f>
        <v>804.6</v>
      </c>
      <c r="BA86" s="5">
        <f t="shared" ref="BA86:BA149" si="82">BA85</f>
        <v>358603.25202561129</v>
      </c>
      <c r="BB86" s="29" t="e">
        <f t="shared" ref="BB86:BB149" si="83">(-C$51*Y86)^C$52</f>
        <v>#NUM!</v>
      </c>
      <c r="BC86" s="29" t="e">
        <f t="shared" ref="BC86:BC149" si="84">C$54*(1+BB86)^(-C$53)</f>
        <v>#NUM!</v>
      </c>
      <c r="BD86" s="29" t="e">
        <f t="shared" ref="BD86:BD149" si="85">C$54*C$51*(1-(BB86/(1+BB86))^C$53)</f>
        <v>#NUM!</v>
      </c>
      <c r="BE86" s="29">
        <f t="shared" ref="BE86:BE149" si="86">C$54*C$51</f>
        <v>0</v>
      </c>
      <c r="BF86" s="5" t="e">
        <f t="shared" ref="BF86:BF149" si="87">(-C$55*Y86)^C$56</f>
        <v>#NUM!</v>
      </c>
      <c r="BG86" s="29" t="e">
        <f t="shared" ref="BG86:BG149" si="88">BC86+C$58*(1+BF86)^(-C$57)</f>
        <v>#NUM!</v>
      </c>
      <c r="BH86" s="29" t="e">
        <f t="shared" ref="BH86:BH149" si="89">BD86+C$58*C$55*(1-(BF86/(1+BF86))^C$57)</f>
        <v>#NUM!</v>
      </c>
      <c r="BI86" s="29">
        <f t="shared" ref="BI86:BI149" si="90">BE86+C$58*C$55</f>
        <v>0</v>
      </c>
      <c r="BJ86" s="30" t="e">
        <f t="shared" ref="BJ86:BJ149" si="91">(-C$59*Y86)^C$60</f>
        <v>#NUM!</v>
      </c>
      <c r="BK86" s="29" t="e">
        <f t="shared" ref="BK86:BK149" si="92">BG86+C$62*(1+BJ86)^(-C$61)</f>
        <v>#NUM!</v>
      </c>
      <c r="BL86" s="29" t="e">
        <f t="shared" ref="BL86:BL149" si="93">BH86+C$62*C$59*(1-(BJ86/(1+BJ86))^C$61)</f>
        <v>#NUM!</v>
      </c>
      <c r="BM86" s="29">
        <f t="shared" ref="BM86:BM149" si="94">BI86+C$62*C$59</f>
        <v>0</v>
      </c>
      <c r="BN86" s="5" t="e">
        <f t="shared" ref="BN86:BN149" si="95">LOG((C$49*(BK86^C$50)*((BL86/BM86)^2)),10)</f>
        <v>#NUM!</v>
      </c>
      <c r="BO86" s="4">
        <f t="shared" si="73"/>
        <v>8.2194749199999997</v>
      </c>
      <c r="BP86" s="4">
        <f t="shared" si="74"/>
        <v>-15.77711152</v>
      </c>
      <c r="BQ86">
        <f t="shared" si="75"/>
        <v>8.2194749199999997</v>
      </c>
      <c r="BR86">
        <f t="shared" si="76"/>
        <v>-15.77711152</v>
      </c>
      <c r="BS86">
        <f t="shared" si="78"/>
        <v>1.6706615595841093E-16</v>
      </c>
      <c r="BT86" s="4">
        <f t="shared" si="77"/>
        <v>0.29418182304666912</v>
      </c>
      <c r="BU86" s="1">
        <f t="shared" si="79"/>
        <v>1.643644148734682E-11</v>
      </c>
    </row>
    <row r="87" spans="1:73" x14ac:dyDescent="0.2">
      <c r="A87" s="31">
        <v>26</v>
      </c>
      <c r="B87" s="4">
        <f>INDEX('vapour permeability'!$A$1:$AZ$450,A87,$C$12*2-1)</f>
        <v>8.2194749199999997</v>
      </c>
      <c r="C87" s="4">
        <f>INDEX('vapour permeability'!$A$1:$AZ$450,A87,$C$12*2)</f>
        <v>-15.77711152</v>
      </c>
      <c r="D87" s="49"/>
      <c r="X87" s="13">
        <v>1</v>
      </c>
      <c r="AY87">
        <f t="shared" si="80"/>
        <v>0</v>
      </c>
      <c r="AZ87" s="5">
        <f t="shared" si="81"/>
        <v>804.6</v>
      </c>
      <c r="BA87" s="5">
        <f t="shared" si="82"/>
        <v>358603.25202561129</v>
      </c>
      <c r="BB87" s="29" t="e">
        <f t="shared" si="83"/>
        <v>#NUM!</v>
      </c>
      <c r="BC87" s="29" t="e">
        <f t="shared" si="84"/>
        <v>#NUM!</v>
      </c>
      <c r="BD87" s="29" t="e">
        <f t="shared" si="85"/>
        <v>#NUM!</v>
      </c>
      <c r="BE87" s="29">
        <f t="shared" si="86"/>
        <v>0</v>
      </c>
      <c r="BF87" s="5" t="e">
        <f t="shared" si="87"/>
        <v>#NUM!</v>
      </c>
      <c r="BG87" s="29" t="e">
        <f t="shared" si="88"/>
        <v>#NUM!</v>
      </c>
      <c r="BH87" s="29" t="e">
        <f t="shared" si="89"/>
        <v>#NUM!</v>
      </c>
      <c r="BI87" s="29">
        <f t="shared" si="90"/>
        <v>0</v>
      </c>
      <c r="BJ87" s="30" t="e">
        <f t="shared" si="91"/>
        <v>#NUM!</v>
      </c>
      <c r="BK87" s="29" t="e">
        <f t="shared" si="92"/>
        <v>#NUM!</v>
      </c>
      <c r="BL87" s="29" t="e">
        <f t="shared" si="93"/>
        <v>#NUM!</v>
      </c>
      <c r="BM87" s="29">
        <f t="shared" si="94"/>
        <v>0</v>
      </c>
      <c r="BN87" s="5" t="e">
        <f t="shared" si="95"/>
        <v>#NUM!</v>
      </c>
      <c r="BO87" s="4">
        <f t="shared" si="73"/>
        <v>8.2194749199999997</v>
      </c>
      <c r="BP87" s="4">
        <f t="shared" si="74"/>
        <v>-15.77711152</v>
      </c>
      <c r="BQ87">
        <f t="shared" si="75"/>
        <v>8.2194749199999997</v>
      </c>
      <c r="BR87">
        <f t="shared" si="76"/>
        <v>-15.77711152</v>
      </c>
      <c r="BS87">
        <f t="shared" si="78"/>
        <v>1.6706615595841093E-16</v>
      </c>
      <c r="BT87" s="4">
        <f t="shared" si="77"/>
        <v>0.29418182304666912</v>
      </c>
      <c r="BU87" s="1">
        <f t="shared" si="79"/>
        <v>1.643644148734682E-11</v>
      </c>
    </row>
    <row r="88" spans="1:73" x14ac:dyDescent="0.2">
      <c r="A88" s="31">
        <v>27</v>
      </c>
      <c r="B88" s="4">
        <f>INDEX('vapour permeability'!$A$1:$AZ$450,A88,$C$12*2-1)</f>
        <v>8.2194749199999997</v>
      </c>
      <c r="C88" s="4">
        <f>INDEX('vapour permeability'!$A$1:$AZ$450,A88,$C$12*2)</f>
        <v>-15.77711152</v>
      </c>
      <c r="D88" s="49"/>
      <c r="X88" s="13">
        <v>1</v>
      </c>
      <c r="AY88">
        <f t="shared" si="80"/>
        <v>0</v>
      </c>
      <c r="AZ88" s="5">
        <f t="shared" si="81"/>
        <v>804.6</v>
      </c>
      <c r="BA88" s="5">
        <f t="shared" si="82"/>
        <v>358603.25202561129</v>
      </c>
      <c r="BB88" s="29" t="e">
        <f t="shared" si="83"/>
        <v>#NUM!</v>
      </c>
      <c r="BC88" s="29" t="e">
        <f t="shared" si="84"/>
        <v>#NUM!</v>
      </c>
      <c r="BD88" s="29" t="e">
        <f t="shared" si="85"/>
        <v>#NUM!</v>
      </c>
      <c r="BE88" s="29">
        <f t="shared" si="86"/>
        <v>0</v>
      </c>
      <c r="BF88" s="5" t="e">
        <f t="shared" si="87"/>
        <v>#NUM!</v>
      </c>
      <c r="BG88" s="29" t="e">
        <f t="shared" si="88"/>
        <v>#NUM!</v>
      </c>
      <c r="BH88" s="29" t="e">
        <f t="shared" si="89"/>
        <v>#NUM!</v>
      </c>
      <c r="BI88" s="29">
        <f t="shared" si="90"/>
        <v>0</v>
      </c>
      <c r="BJ88" s="30" t="e">
        <f t="shared" si="91"/>
        <v>#NUM!</v>
      </c>
      <c r="BK88" s="29" t="e">
        <f t="shared" si="92"/>
        <v>#NUM!</v>
      </c>
      <c r="BL88" s="29" t="e">
        <f t="shared" si="93"/>
        <v>#NUM!</v>
      </c>
      <c r="BM88" s="29">
        <f t="shared" si="94"/>
        <v>0</v>
      </c>
      <c r="BN88" s="5" t="e">
        <f t="shared" si="95"/>
        <v>#NUM!</v>
      </c>
      <c r="BO88" s="4">
        <f t="shared" si="73"/>
        <v>8.2194749199999997</v>
      </c>
      <c r="BP88" s="4">
        <f t="shared" si="74"/>
        <v>-15.77711152</v>
      </c>
      <c r="BQ88">
        <f t="shared" si="75"/>
        <v>8.2194749199999997</v>
      </c>
      <c r="BR88">
        <f t="shared" si="76"/>
        <v>-15.77711152</v>
      </c>
      <c r="BS88">
        <f t="shared" si="78"/>
        <v>1.6706615595841093E-16</v>
      </c>
      <c r="BT88" s="4">
        <f t="shared" si="77"/>
        <v>0.29418182304666912</v>
      </c>
      <c r="BU88" s="1">
        <f t="shared" si="79"/>
        <v>1.643644148734682E-11</v>
      </c>
    </row>
    <row r="89" spans="1:73" x14ac:dyDescent="0.2">
      <c r="A89" s="31">
        <v>28</v>
      </c>
      <c r="B89" s="4">
        <f>INDEX('vapour permeability'!$A$1:$AZ$450,A89,$C$12*2-1)</f>
        <v>8.2194749199999997</v>
      </c>
      <c r="C89" s="4">
        <f>INDEX('vapour permeability'!$A$1:$AZ$450,A89,$C$12*2)</f>
        <v>-15.77711152</v>
      </c>
      <c r="D89" s="49"/>
      <c r="X89" s="13">
        <v>1</v>
      </c>
      <c r="AY89">
        <f t="shared" si="80"/>
        <v>0</v>
      </c>
      <c r="AZ89" s="5">
        <f t="shared" si="81"/>
        <v>804.6</v>
      </c>
      <c r="BA89" s="5">
        <f t="shared" si="82"/>
        <v>358603.25202561129</v>
      </c>
      <c r="BB89" s="29" t="e">
        <f t="shared" si="83"/>
        <v>#NUM!</v>
      </c>
      <c r="BC89" s="29" t="e">
        <f t="shared" si="84"/>
        <v>#NUM!</v>
      </c>
      <c r="BD89" s="29" t="e">
        <f t="shared" si="85"/>
        <v>#NUM!</v>
      </c>
      <c r="BE89" s="29">
        <f t="shared" si="86"/>
        <v>0</v>
      </c>
      <c r="BF89" s="5" t="e">
        <f t="shared" si="87"/>
        <v>#NUM!</v>
      </c>
      <c r="BG89" s="29" t="e">
        <f t="shared" si="88"/>
        <v>#NUM!</v>
      </c>
      <c r="BH89" s="29" t="e">
        <f t="shared" si="89"/>
        <v>#NUM!</v>
      </c>
      <c r="BI89" s="29">
        <f t="shared" si="90"/>
        <v>0</v>
      </c>
      <c r="BJ89" s="30" t="e">
        <f t="shared" si="91"/>
        <v>#NUM!</v>
      </c>
      <c r="BK89" s="29" t="e">
        <f t="shared" si="92"/>
        <v>#NUM!</v>
      </c>
      <c r="BL89" s="29" t="e">
        <f t="shared" si="93"/>
        <v>#NUM!</v>
      </c>
      <c r="BM89" s="29">
        <f t="shared" si="94"/>
        <v>0</v>
      </c>
      <c r="BN89" s="5" t="e">
        <f t="shared" si="95"/>
        <v>#NUM!</v>
      </c>
      <c r="BO89" s="4">
        <f t="shared" si="73"/>
        <v>8.2194749199999997</v>
      </c>
      <c r="BP89" s="4">
        <f t="shared" si="74"/>
        <v>-15.77711152</v>
      </c>
      <c r="BQ89">
        <f t="shared" si="75"/>
        <v>8.2194749199999997</v>
      </c>
      <c r="BR89">
        <f t="shared" si="76"/>
        <v>-15.77711152</v>
      </c>
      <c r="BS89">
        <f t="shared" si="78"/>
        <v>1.6706615595841093E-16</v>
      </c>
      <c r="BT89" s="4">
        <f t="shared" si="77"/>
        <v>0.29418182304666912</v>
      </c>
      <c r="BU89" s="1">
        <f t="shared" si="79"/>
        <v>1.643644148734682E-11</v>
      </c>
    </row>
    <row r="90" spans="1:73" x14ac:dyDescent="0.2">
      <c r="A90" s="31">
        <v>29</v>
      </c>
      <c r="B90" s="4">
        <f>INDEX('vapour permeability'!$A$1:$AZ$450,A90,$C$12*2-1)</f>
        <v>8.2194749199999997</v>
      </c>
      <c r="C90" s="4">
        <f>INDEX('vapour permeability'!$A$1:$AZ$450,A90,$C$12*2)</f>
        <v>-15.77711152</v>
      </c>
      <c r="D90" s="49"/>
      <c r="S90">
        <f>10</f>
        <v>10</v>
      </c>
      <c r="X90" s="13">
        <v>1</v>
      </c>
      <c r="AY90">
        <f t="shared" si="80"/>
        <v>0</v>
      </c>
      <c r="AZ90" s="5">
        <f t="shared" si="81"/>
        <v>804.6</v>
      </c>
      <c r="BA90" s="5">
        <f t="shared" si="82"/>
        <v>358603.25202561129</v>
      </c>
      <c r="BB90" s="29" t="e">
        <f t="shared" si="83"/>
        <v>#NUM!</v>
      </c>
      <c r="BC90" s="29" t="e">
        <f t="shared" si="84"/>
        <v>#NUM!</v>
      </c>
      <c r="BD90" s="29" t="e">
        <f t="shared" si="85"/>
        <v>#NUM!</v>
      </c>
      <c r="BE90" s="29">
        <f t="shared" si="86"/>
        <v>0</v>
      </c>
      <c r="BF90" s="5" t="e">
        <f t="shared" si="87"/>
        <v>#NUM!</v>
      </c>
      <c r="BG90" s="29" t="e">
        <f t="shared" si="88"/>
        <v>#NUM!</v>
      </c>
      <c r="BH90" s="29" t="e">
        <f t="shared" si="89"/>
        <v>#NUM!</v>
      </c>
      <c r="BI90" s="29">
        <f t="shared" si="90"/>
        <v>0</v>
      </c>
      <c r="BJ90" s="30" t="e">
        <f t="shared" si="91"/>
        <v>#NUM!</v>
      </c>
      <c r="BK90" s="29" t="e">
        <f t="shared" si="92"/>
        <v>#NUM!</v>
      </c>
      <c r="BL90" s="29" t="e">
        <f t="shared" si="93"/>
        <v>#NUM!</v>
      </c>
      <c r="BM90" s="29">
        <f t="shared" si="94"/>
        <v>0</v>
      </c>
      <c r="BN90" s="5" t="e">
        <f t="shared" si="95"/>
        <v>#NUM!</v>
      </c>
      <c r="BO90" s="4">
        <f t="shared" si="73"/>
        <v>8.2194749199999997</v>
      </c>
      <c r="BP90" s="4">
        <f t="shared" si="74"/>
        <v>-15.77711152</v>
      </c>
      <c r="BQ90">
        <f t="shared" si="75"/>
        <v>8.2194749199999997</v>
      </c>
      <c r="BR90">
        <f t="shared" si="76"/>
        <v>-15.77711152</v>
      </c>
      <c r="BS90">
        <f t="shared" si="78"/>
        <v>1.6706615595841093E-16</v>
      </c>
      <c r="BT90" s="4">
        <f t="shared" si="77"/>
        <v>0.29418182304666912</v>
      </c>
      <c r="BU90" s="1">
        <f t="shared" si="79"/>
        <v>1.643644148734682E-11</v>
      </c>
    </row>
    <row r="91" spans="1:73" x14ac:dyDescent="0.2">
      <c r="A91" s="31">
        <v>30</v>
      </c>
      <c r="B91" s="4">
        <f>INDEX('vapour permeability'!$A$1:$AZ$450,A91,$C$12*2-1)</f>
        <v>8.2194749199999997</v>
      </c>
      <c r="C91" s="4">
        <f>INDEX('vapour permeability'!$A$1:$AZ$450,A91,$C$12*2)</f>
        <v>-15.77711152</v>
      </c>
      <c r="D91" s="49"/>
      <c r="S91" s="1">
        <f>-200000000-1000000000</f>
        <v>-1200000000</v>
      </c>
      <c r="X91" s="13">
        <v>1</v>
      </c>
      <c r="AY91">
        <f t="shared" si="80"/>
        <v>0</v>
      </c>
      <c r="AZ91" s="5">
        <f t="shared" si="81"/>
        <v>804.6</v>
      </c>
      <c r="BA91" s="5">
        <f t="shared" si="82"/>
        <v>358603.25202561129</v>
      </c>
      <c r="BB91" s="29" t="e">
        <f t="shared" si="83"/>
        <v>#NUM!</v>
      </c>
      <c r="BC91" s="29" t="e">
        <f t="shared" si="84"/>
        <v>#NUM!</v>
      </c>
      <c r="BD91" s="29" t="e">
        <f t="shared" si="85"/>
        <v>#NUM!</v>
      </c>
      <c r="BE91" s="29">
        <f t="shared" si="86"/>
        <v>0</v>
      </c>
      <c r="BF91" s="5" t="e">
        <f t="shared" si="87"/>
        <v>#NUM!</v>
      </c>
      <c r="BG91" s="29" t="e">
        <f t="shared" si="88"/>
        <v>#NUM!</v>
      </c>
      <c r="BH91" s="29" t="e">
        <f t="shared" si="89"/>
        <v>#NUM!</v>
      </c>
      <c r="BI91" s="29">
        <f t="shared" si="90"/>
        <v>0</v>
      </c>
      <c r="BJ91" s="30" t="e">
        <f t="shared" si="91"/>
        <v>#NUM!</v>
      </c>
      <c r="BK91" s="29" t="e">
        <f t="shared" si="92"/>
        <v>#NUM!</v>
      </c>
      <c r="BL91" s="29" t="e">
        <f t="shared" si="93"/>
        <v>#NUM!</v>
      </c>
      <c r="BM91" s="29">
        <f t="shared" si="94"/>
        <v>0</v>
      </c>
      <c r="BN91" s="5" t="e">
        <f t="shared" si="95"/>
        <v>#NUM!</v>
      </c>
      <c r="BO91" s="4">
        <f t="shared" si="73"/>
        <v>8.2194749199999997</v>
      </c>
      <c r="BP91" s="4">
        <f t="shared" si="74"/>
        <v>-15.77711152</v>
      </c>
      <c r="BQ91">
        <f t="shared" si="75"/>
        <v>8.2194749199999997</v>
      </c>
      <c r="BR91">
        <f t="shared" si="76"/>
        <v>-15.77711152</v>
      </c>
      <c r="BS91">
        <f t="shared" si="78"/>
        <v>1.6706615595841093E-16</v>
      </c>
      <c r="BT91" s="4">
        <f t="shared" si="77"/>
        <v>0.29418182304666912</v>
      </c>
      <c r="BU91" s="1">
        <f t="shared" si="79"/>
        <v>1.643644148734682E-11</v>
      </c>
    </row>
    <row r="92" spans="1:73" x14ac:dyDescent="0.2">
      <c r="A92" s="31">
        <v>31</v>
      </c>
      <c r="B92" s="4">
        <f>INDEX('vapour permeability'!$A$1:$AZ$450,A92,$C$12*2-1)</f>
        <v>8.2194749199999997</v>
      </c>
      <c r="C92" s="4">
        <f>INDEX('vapour permeability'!$A$1:$AZ$450,A92,$C$12*2)</f>
        <v>-15.77711152</v>
      </c>
      <c r="D92" s="49"/>
      <c r="S92" s="1">
        <f>S90/S91</f>
        <v>-8.3333333333333335E-9</v>
      </c>
      <c r="X92" s="13">
        <v>1</v>
      </c>
      <c r="AY92">
        <f t="shared" si="80"/>
        <v>0</v>
      </c>
      <c r="AZ92" s="5">
        <f t="shared" si="81"/>
        <v>804.6</v>
      </c>
      <c r="BA92" s="5">
        <f t="shared" si="82"/>
        <v>358603.25202561129</v>
      </c>
      <c r="BB92" s="29" t="e">
        <f t="shared" si="83"/>
        <v>#NUM!</v>
      </c>
      <c r="BC92" s="29" t="e">
        <f t="shared" si="84"/>
        <v>#NUM!</v>
      </c>
      <c r="BD92" s="29" t="e">
        <f t="shared" si="85"/>
        <v>#NUM!</v>
      </c>
      <c r="BE92" s="29">
        <f t="shared" si="86"/>
        <v>0</v>
      </c>
      <c r="BF92" s="5" t="e">
        <f t="shared" si="87"/>
        <v>#NUM!</v>
      </c>
      <c r="BG92" s="29" t="e">
        <f t="shared" si="88"/>
        <v>#NUM!</v>
      </c>
      <c r="BH92" s="29" t="e">
        <f t="shared" si="89"/>
        <v>#NUM!</v>
      </c>
      <c r="BI92" s="29">
        <f t="shared" si="90"/>
        <v>0</v>
      </c>
      <c r="BJ92" s="30" t="e">
        <f t="shared" si="91"/>
        <v>#NUM!</v>
      </c>
      <c r="BK92" s="29" t="e">
        <f t="shared" si="92"/>
        <v>#NUM!</v>
      </c>
      <c r="BL92" s="29" t="e">
        <f t="shared" si="93"/>
        <v>#NUM!</v>
      </c>
      <c r="BM92" s="29">
        <f t="shared" si="94"/>
        <v>0</v>
      </c>
      <c r="BN92" s="5" t="e">
        <f t="shared" si="95"/>
        <v>#NUM!</v>
      </c>
      <c r="BO92" s="4">
        <f t="shared" si="73"/>
        <v>8.2194749199999997</v>
      </c>
      <c r="BP92" s="4">
        <f t="shared" si="74"/>
        <v>-15.77711152</v>
      </c>
      <c r="BQ92">
        <f t="shared" si="75"/>
        <v>8.2194749199999997</v>
      </c>
      <c r="BR92">
        <f t="shared" si="76"/>
        <v>-15.77711152</v>
      </c>
      <c r="BS92">
        <f t="shared" si="78"/>
        <v>1.6706615595841093E-16</v>
      </c>
      <c r="BT92" s="4">
        <f t="shared" si="77"/>
        <v>0.29418182304666912</v>
      </c>
      <c r="BU92" s="1">
        <f t="shared" si="79"/>
        <v>1.643644148734682E-11</v>
      </c>
    </row>
    <row r="93" spans="1:73" x14ac:dyDescent="0.2">
      <c r="A93" s="31">
        <v>32</v>
      </c>
      <c r="B93" s="4">
        <f>INDEX('vapour permeability'!$A$1:$AZ$450,A93,$C$12*2-1)</f>
        <v>8.2194749199999997</v>
      </c>
      <c r="C93" s="4">
        <f>INDEX('vapour permeability'!$A$1:$AZ$450,A93,$C$12*2)</f>
        <v>-15.77711152</v>
      </c>
      <c r="D93" s="49"/>
      <c r="X93" s="13">
        <v>1</v>
      </c>
      <c r="AY93">
        <f t="shared" si="80"/>
        <v>0</v>
      </c>
      <c r="AZ93" s="5">
        <f t="shared" si="81"/>
        <v>804.6</v>
      </c>
      <c r="BA93" s="5">
        <f t="shared" si="82"/>
        <v>358603.25202561129</v>
      </c>
      <c r="BB93" s="29" t="e">
        <f t="shared" si="83"/>
        <v>#NUM!</v>
      </c>
      <c r="BC93" s="29" t="e">
        <f t="shared" si="84"/>
        <v>#NUM!</v>
      </c>
      <c r="BD93" s="29" t="e">
        <f t="shared" si="85"/>
        <v>#NUM!</v>
      </c>
      <c r="BE93" s="29">
        <f t="shared" si="86"/>
        <v>0</v>
      </c>
      <c r="BF93" s="5" t="e">
        <f t="shared" si="87"/>
        <v>#NUM!</v>
      </c>
      <c r="BG93" s="29" t="e">
        <f t="shared" si="88"/>
        <v>#NUM!</v>
      </c>
      <c r="BH93" s="29" t="e">
        <f t="shared" si="89"/>
        <v>#NUM!</v>
      </c>
      <c r="BI93" s="29">
        <f t="shared" si="90"/>
        <v>0</v>
      </c>
      <c r="BJ93" s="30" t="e">
        <f t="shared" si="91"/>
        <v>#NUM!</v>
      </c>
      <c r="BK93" s="29" t="e">
        <f t="shared" si="92"/>
        <v>#NUM!</v>
      </c>
      <c r="BL93" s="29" t="e">
        <f t="shared" si="93"/>
        <v>#NUM!</v>
      </c>
      <c r="BM93" s="29">
        <f t="shared" si="94"/>
        <v>0</v>
      </c>
      <c r="BN93" s="5" t="e">
        <f t="shared" si="95"/>
        <v>#NUM!</v>
      </c>
      <c r="BO93" s="4">
        <f t="shared" si="73"/>
        <v>8.2194749199999997</v>
      </c>
      <c r="BP93" s="4">
        <f t="shared" si="74"/>
        <v>-15.77711152</v>
      </c>
      <c r="BQ93">
        <f t="shared" si="75"/>
        <v>8.2194749199999997</v>
      </c>
      <c r="BR93">
        <f t="shared" si="76"/>
        <v>-15.77711152</v>
      </c>
      <c r="BS93">
        <f t="shared" si="78"/>
        <v>1.6706615595841093E-16</v>
      </c>
      <c r="BT93" s="4">
        <f t="shared" si="77"/>
        <v>0.29418182304666912</v>
      </c>
      <c r="BU93" s="1">
        <f t="shared" si="79"/>
        <v>1.643644148734682E-11</v>
      </c>
    </row>
    <row r="94" spans="1:73" x14ac:dyDescent="0.2">
      <c r="A94" s="31">
        <v>33</v>
      </c>
      <c r="B94" s="4">
        <f>INDEX('vapour permeability'!$A$1:$AZ$450,A94,$C$12*2-1)</f>
        <v>8.2194749199999997</v>
      </c>
      <c r="C94" s="4">
        <f>INDEX('vapour permeability'!$A$1:$AZ$450,A94,$C$12*2)</f>
        <v>-15.77711152</v>
      </c>
      <c r="D94" s="49"/>
      <c r="X94" s="13">
        <v>1</v>
      </c>
      <c r="AY94">
        <f t="shared" si="80"/>
        <v>0</v>
      </c>
      <c r="AZ94" s="5">
        <f t="shared" si="81"/>
        <v>804.6</v>
      </c>
      <c r="BA94" s="5">
        <f t="shared" si="82"/>
        <v>358603.25202561129</v>
      </c>
      <c r="BB94" s="29" t="e">
        <f t="shared" si="83"/>
        <v>#NUM!</v>
      </c>
      <c r="BC94" s="29" t="e">
        <f t="shared" si="84"/>
        <v>#NUM!</v>
      </c>
      <c r="BD94" s="29" t="e">
        <f t="shared" si="85"/>
        <v>#NUM!</v>
      </c>
      <c r="BE94" s="29">
        <f t="shared" si="86"/>
        <v>0</v>
      </c>
      <c r="BF94" s="5" t="e">
        <f t="shared" si="87"/>
        <v>#NUM!</v>
      </c>
      <c r="BG94" s="29" t="e">
        <f t="shared" si="88"/>
        <v>#NUM!</v>
      </c>
      <c r="BH94" s="29" t="e">
        <f t="shared" si="89"/>
        <v>#NUM!</v>
      </c>
      <c r="BI94" s="29">
        <f t="shared" si="90"/>
        <v>0</v>
      </c>
      <c r="BJ94" s="30" t="e">
        <f t="shared" si="91"/>
        <v>#NUM!</v>
      </c>
      <c r="BK94" s="29" t="e">
        <f t="shared" si="92"/>
        <v>#NUM!</v>
      </c>
      <c r="BL94" s="29" t="e">
        <f t="shared" si="93"/>
        <v>#NUM!</v>
      </c>
      <c r="BM94" s="29">
        <f t="shared" si="94"/>
        <v>0</v>
      </c>
      <c r="BN94" s="5" t="e">
        <f t="shared" si="95"/>
        <v>#NUM!</v>
      </c>
      <c r="BO94" s="4">
        <f t="shared" si="73"/>
        <v>8.2194749199999997</v>
      </c>
      <c r="BP94" s="4">
        <f t="shared" si="74"/>
        <v>-15.77711152</v>
      </c>
      <c r="BQ94">
        <f t="shared" si="75"/>
        <v>8.2194749199999997</v>
      </c>
      <c r="BR94">
        <f t="shared" si="76"/>
        <v>-15.77711152</v>
      </c>
      <c r="BS94">
        <f t="shared" si="78"/>
        <v>1.6706615595841093E-16</v>
      </c>
      <c r="BT94" s="4">
        <f t="shared" si="77"/>
        <v>0.29418182304666912</v>
      </c>
      <c r="BU94" s="1">
        <f t="shared" si="79"/>
        <v>1.643644148734682E-11</v>
      </c>
    </row>
    <row r="95" spans="1:73" x14ac:dyDescent="0.2">
      <c r="A95" s="31">
        <v>34</v>
      </c>
      <c r="B95" s="4">
        <f>INDEX('vapour permeability'!$A$1:$AZ$450,A95,$C$12*2-1)</f>
        <v>8.2194749199999997</v>
      </c>
      <c r="C95" s="4">
        <f>INDEX('vapour permeability'!$A$1:$AZ$450,A95,$C$12*2)</f>
        <v>-15.77711152</v>
      </c>
      <c r="D95" s="49"/>
      <c r="X95" s="13">
        <v>1</v>
      </c>
      <c r="AY95">
        <f t="shared" si="80"/>
        <v>0</v>
      </c>
      <c r="AZ95" s="5">
        <f t="shared" si="81"/>
        <v>804.6</v>
      </c>
      <c r="BA95" s="5">
        <f t="shared" si="82"/>
        <v>358603.25202561129</v>
      </c>
      <c r="BB95" s="29" t="e">
        <f t="shared" si="83"/>
        <v>#NUM!</v>
      </c>
      <c r="BC95" s="29" t="e">
        <f t="shared" si="84"/>
        <v>#NUM!</v>
      </c>
      <c r="BD95" s="29" t="e">
        <f t="shared" si="85"/>
        <v>#NUM!</v>
      </c>
      <c r="BE95" s="29">
        <f t="shared" si="86"/>
        <v>0</v>
      </c>
      <c r="BF95" s="5" t="e">
        <f t="shared" si="87"/>
        <v>#NUM!</v>
      </c>
      <c r="BG95" s="29" t="e">
        <f t="shared" si="88"/>
        <v>#NUM!</v>
      </c>
      <c r="BH95" s="29" t="e">
        <f t="shared" si="89"/>
        <v>#NUM!</v>
      </c>
      <c r="BI95" s="29">
        <f t="shared" si="90"/>
        <v>0</v>
      </c>
      <c r="BJ95" s="30" t="e">
        <f t="shared" si="91"/>
        <v>#NUM!</v>
      </c>
      <c r="BK95" s="29" t="e">
        <f t="shared" si="92"/>
        <v>#NUM!</v>
      </c>
      <c r="BL95" s="29" t="e">
        <f t="shared" si="93"/>
        <v>#NUM!</v>
      </c>
      <c r="BM95" s="29">
        <f t="shared" si="94"/>
        <v>0</v>
      </c>
      <c r="BN95" s="5" t="e">
        <f t="shared" si="95"/>
        <v>#NUM!</v>
      </c>
      <c r="BO95" s="4">
        <f t="shared" si="73"/>
        <v>8.2194749199999997</v>
      </c>
      <c r="BP95" s="4">
        <f t="shared" si="74"/>
        <v>-15.77711152</v>
      </c>
      <c r="BQ95">
        <f t="shared" si="75"/>
        <v>8.2194749199999997</v>
      </c>
      <c r="BR95">
        <f t="shared" si="76"/>
        <v>-15.77711152</v>
      </c>
      <c r="BS95">
        <f t="shared" si="78"/>
        <v>1.6706615595841093E-16</v>
      </c>
      <c r="BT95" s="4">
        <f t="shared" si="77"/>
        <v>0.29418182304666912</v>
      </c>
      <c r="BU95" s="1">
        <f t="shared" si="79"/>
        <v>1.643644148734682E-11</v>
      </c>
    </row>
    <row r="96" spans="1:73" x14ac:dyDescent="0.2">
      <c r="A96" s="31">
        <v>35</v>
      </c>
      <c r="B96" s="4">
        <f>INDEX('vapour permeability'!$A$1:$AZ$450,A96,$C$12*2-1)</f>
        <v>8.2194749199999997</v>
      </c>
      <c r="C96" s="4">
        <f>INDEX('vapour permeability'!$A$1:$AZ$450,A96,$C$12*2)</f>
        <v>-15.77711152</v>
      </c>
      <c r="D96" s="49"/>
      <c r="X96" s="13">
        <v>1</v>
      </c>
      <c r="AY96">
        <f t="shared" si="80"/>
        <v>0</v>
      </c>
      <c r="AZ96" s="5">
        <f t="shared" si="81"/>
        <v>804.6</v>
      </c>
      <c r="BA96" s="5">
        <f t="shared" si="82"/>
        <v>358603.25202561129</v>
      </c>
      <c r="BB96" s="29" t="e">
        <f t="shared" si="83"/>
        <v>#NUM!</v>
      </c>
      <c r="BC96" s="29" t="e">
        <f t="shared" si="84"/>
        <v>#NUM!</v>
      </c>
      <c r="BD96" s="29" t="e">
        <f t="shared" si="85"/>
        <v>#NUM!</v>
      </c>
      <c r="BE96" s="29">
        <f t="shared" si="86"/>
        <v>0</v>
      </c>
      <c r="BF96" s="5" t="e">
        <f t="shared" si="87"/>
        <v>#NUM!</v>
      </c>
      <c r="BG96" s="29" t="e">
        <f t="shared" si="88"/>
        <v>#NUM!</v>
      </c>
      <c r="BH96" s="29" t="e">
        <f t="shared" si="89"/>
        <v>#NUM!</v>
      </c>
      <c r="BI96" s="29">
        <f t="shared" si="90"/>
        <v>0</v>
      </c>
      <c r="BJ96" s="30" t="e">
        <f t="shared" si="91"/>
        <v>#NUM!</v>
      </c>
      <c r="BK96" s="29" t="e">
        <f t="shared" si="92"/>
        <v>#NUM!</v>
      </c>
      <c r="BL96" s="29" t="e">
        <f t="shared" si="93"/>
        <v>#NUM!</v>
      </c>
      <c r="BM96" s="29">
        <f t="shared" si="94"/>
        <v>0</v>
      </c>
      <c r="BN96" s="5" t="e">
        <f t="shared" si="95"/>
        <v>#NUM!</v>
      </c>
      <c r="BO96" s="4">
        <f t="shared" si="73"/>
        <v>8.2194749199999997</v>
      </c>
      <c r="BP96" s="4">
        <f t="shared" si="74"/>
        <v>-15.77711152</v>
      </c>
      <c r="BQ96">
        <f t="shared" si="75"/>
        <v>8.2194749199999997</v>
      </c>
      <c r="BR96">
        <f t="shared" si="76"/>
        <v>-15.77711152</v>
      </c>
      <c r="BS96">
        <f t="shared" si="78"/>
        <v>1.6706615595841093E-16</v>
      </c>
      <c r="BT96" s="4">
        <f t="shared" si="77"/>
        <v>0.29418182304666912</v>
      </c>
      <c r="BU96" s="1">
        <f t="shared" si="79"/>
        <v>1.643644148734682E-11</v>
      </c>
    </row>
    <row r="97" spans="1:73" x14ac:dyDescent="0.2">
      <c r="A97" s="31">
        <v>36</v>
      </c>
      <c r="B97" s="4">
        <f>INDEX('vapour permeability'!$A$1:$AZ$450,A97,$C$12*2-1)</f>
        <v>8.2194749199999997</v>
      </c>
      <c r="C97" s="4">
        <f>INDEX('vapour permeability'!$A$1:$AZ$450,A97,$C$12*2)</f>
        <v>-15.77711152</v>
      </c>
      <c r="D97" s="49"/>
      <c r="X97" s="13">
        <v>1</v>
      </c>
      <c r="AY97">
        <f t="shared" si="80"/>
        <v>0</v>
      </c>
      <c r="AZ97" s="5">
        <f t="shared" si="81"/>
        <v>804.6</v>
      </c>
      <c r="BA97" s="5">
        <f t="shared" si="82"/>
        <v>358603.25202561129</v>
      </c>
      <c r="BB97" s="29" t="e">
        <f t="shared" si="83"/>
        <v>#NUM!</v>
      </c>
      <c r="BC97" s="29" t="e">
        <f t="shared" si="84"/>
        <v>#NUM!</v>
      </c>
      <c r="BD97" s="29" t="e">
        <f t="shared" si="85"/>
        <v>#NUM!</v>
      </c>
      <c r="BE97" s="29">
        <f t="shared" si="86"/>
        <v>0</v>
      </c>
      <c r="BF97" s="5" t="e">
        <f t="shared" si="87"/>
        <v>#NUM!</v>
      </c>
      <c r="BG97" s="29" t="e">
        <f t="shared" si="88"/>
        <v>#NUM!</v>
      </c>
      <c r="BH97" s="29" t="e">
        <f t="shared" si="89"/>
        <v>#NUM!</v>
      </c>
      <c r="BI97" s="29">
        <f t="shared" si="90"/>
        <v>0</v>
      </c>
      <c r="BJ97" s="30" t="e">
        <f t="shared" si="91"/>
        <v>#NUM!</v>
      </c>
      <c r="BK97" s="29" t="e">
        <f t="shared" si="92"/>
        <v>#NUM!</v>
      </c>
      <c r="BL97" s="29" t="e">
        <f t="shared" si="93"/>
        <v>#NUM!</v>
      </c>
      <c r="BM97" s="29">
        <f t="shared" si="94"/>
        <v>0</v>
      </c>
      <c r="BN97" s="5" t="e">
        <f t="shared" si="95"/>
        <v>#NUM!</v>
      </c>
      <c r="BO97" s="4">
        <f t="shared" si="73"/>
        <v>8.2194749199999997</v>
      </c>
      <c r="BP97" s="4">
        <f t="shared" si="74"/>
        <v>-15.77711152</v>
      </c>
      <c r="BQ97">
        <f t="shared" si="75"/>
        <v>8.2194749199999997</v>
      </c>
      <c r="BR97">
        <f t="shared" si="76"/>
        <v>-15.77711152</v>
      </c>
      <c r="BS97">
        <f t="shared" si="78"/>
        <v>1.6706615595841093E-16</v>
      </c>
      <c r="BT97" s="4">
        <f t="shared" si="77"/>
        <v>0.29418182304666912</v>
      </c>
      <c r="BU97" s="1">
        <f t="shared" si="79"/>
        <v>1.643644148734682E-11</v>
      </c>
    </row>
    <row r="98" spans="1:73" x14ac:dyDescent="0.2">
      <c r="A98" s="31">
        <v>37</v>
      </c>
      <c r="B98" s="4">
        <f>INDEX('vapour permeability'!$A$1:$AZ$450,A98,$C$12*2-1)</f>
        <v>8.2194749199999997</v>
      </c>
      <c r="C98" s="4">
        <f>INDEX('vapour permeability'!$A$1:$AZ$450,A98,$C$12*2)</f>
        <v>-15.77711152</v>
      </c>
      <c r="D98" s="49"/>
      <c r="X98" s="13">
        <v>1</v>
      </c>
      <c r="AY98">
        <f t="shared" si="80"/>
        <v>0</v>
      </c>
      <c r="AZ98" s="5">
        <f t="shared" si="81"/>
        <v>804.6</v>
      </c>
      <c r="BA98" s="5">
        <f t="shared" si="82"/>
        <v>358603.25202561129</v>
      </c>
      <c r="BB98" s="29" t="e">
        <f t="shared" si="83"/>
        <v>#NUM!</v>
      </c>
      <c r="BC98" s="29" t="e">
        <f t="shared" si="84"/>
        <v>#NUM!</v>
      </c>
      <c r="BD98" s="29" t="e">
        <f t="shared" si="85"/>
        <v>#NUM!</v>
      </c>
      <c r="BE98" s="29">
        <f t="shared" si="86"/>
        <v>0</v>
      </c>
      <c r="BF98" s="5" t="e">
        <f t="shared" si="87"/>
        <v>#NUM!</v>
      </c>
      <c r="BG98" s="29" t="e">
        <f t="shared" si="88"/>
        <v>#NUM!</v>
      </c>
      <c r="BH98" s="29" t="e">
        <f t="shared" si="89"/>
        <v>#NUM!</v>
      </c>
      <c r="BI98" s="29">
        <f t="shared" si="90"/>
        <v>0</v>
      </c>
      <c r="BJ98" s="30" t="e">
        <f t="shared" si="91"/>
        <v>#NUM!</v>
      </c>
      <c r="BK98" s="29" t="e">
        <f t="shared" si="92"/>
        <v>#NUM!</v>
      </c>
      <c r="BL98" s="29" t="e">
        <f t="shared" si="93"/>
        <v>#NUM!</v>
      </c>
      <c r="BM98" s="29">
        <f t="shared" si="94"/>
        <v>0</v>
      </c>
      <c r="BN98" s="5" t="e">
        <f t="shared" si="95"/>
        <v>#NUM!</v>
      </c>
      <c r="BO98" s="4">
        <f t="shared" si="73"/>
        <v>8.2194749199999997</v>
      </c>
      <c r="BP98" s="4">
        <f t="shared" si="74"/>
        <v>-15.77711152</v>
      </c>
      <c r="BQ98">
        <f t="shared" si="75"/>
        <v>8.2194749199999997</v>
      </c>
      <c r="BR98">
        <f t="shared" si="76"/>
        <v>-15.77711152</v>
      </c>
      <c r="BS98">
        <f t="shared" si="78"/>
        <v>1.6706615595841093E-16</v>
      </c>
      <c r="BT98" s="4">
        <f t="shared" si="77"/>
        <v>0.29418182304666912</v>
      </c>
      <c r="BU98" s="1">
        <f t="shared" si="79"/>
        <v>1.643644148734682E-11</v>
      </c>
    </row>
    <row r="99" spans="1:73" x14ac:dyDescent="0.2">
      <c r="A99" s="31">
        <v>38</v>
      </c>
      <c r="B99" s="4">
        <f>INDEX('vapour permeability'!$A$1:$AZ$450,A99,$C$12*2-1)</f>
        <v>8.2194749199999997</v>
      </c>
      <c r="C99" s="4">
        <f>INDEX('vapour permeability'!$A$1:$AZ$450,A99,$C$12*2)</f>
        <v>-15.77711152</v>
      </c>
      <c r="D99" s="49"/>
      <c r="X99" s="13">
        <v>1</v>
      </c>
      <c r="AY99">
        <f t="shared" si="80"/>
        <v>0</v>
      </c>
      <c r="AZ99" s="5">
        <f t="shared" si="81"/>
        <v>804.6</v>
      </c>
      <c r="BA99" s="5">
        <f t="shared" si="82"/>
        <v>358603.25202561129</v>
      </c>
      <c r="BB99" s="29" t="e">
        <f t="shared" si="83"/>
        <v>#NUM!</v>
      </c>
      <c r="BC99" s="29" t="e">
        <f t="shared" si="84"/>
        <v>#NUM!</v>
      </c>
      <c r="BD99" s="29" t="e">
        <f t="shared" si="85"/>
        <v>#NUM!</v>
      </c>
      <c r="BE99" s="29">
        <f t="shared" si="86"/>
        <v>0</v>
      </c>
      <c r="BF99" s="5" t="e">
        <f t="shared" si="87"/>
        <v>#NUM!</v>
      </c>
      <c r="BG99" s="29" t="e">
        <f t="shared" si="88"/>
        <v>#NUM!</v>
      </c>
      <c r="BH99" s="29" t="e">
        <f t="shared" si="89"/>
        <v>#NUM!</v>
      </c>
      <c r="BI99" s="29">
        <f t="shared" si="90"/>
        <v>0</v>
      </c>
      <c r="BJ99" s="30" t="e">
        <f t="shared" si="91"/>
        <v>#NUM!</v>
      </c>
      <c r="BK99" s="29" t="e">
        <f t="shared" si="92"/>
        <v>#NUM!</v>
      </c>
      <c r="BL99" s="29" t="e">
        <f t="shared" si="93"/>
        <v>#NUM!</v>
      </c>
      <c r="BM99" s="29">
        <f t="shared" si="94"/>
        <v>0</v>
      </c>
      <c r="BN99" s="5" t="e">
        <f t="shared" si="95"/>
        <v>#NUM!</v>
      </c>
      <c r="BO99" s="4">
        <f t="shared" si="73"/>
        <v>8.2194749199999997</v>
      </c>
      <c r="BP99" s="4">
        <f t="shared" si="74"/>
        <v>-15.77711152</v>
      </c>
      <c r="BQ99">
        <f t="shared" si="75"/>
        <v>8.2194749199999997</v>
      </c>
      <c r="BR99">
        <f t="shared" si="76"/>
        <v>-15.77711152</v>
      </c>
      <c r="BS99">
        <f t="shared" si="78"/>
        <v>1.6706615595841093E-16</v>
      </c>
      <c r="BT99" s="4">
        <f t="shared" si="77"/>
        <v>0.29418182304666912</v>
      </c>
      <c r="BU99" s="1">
        <f t="shared" si="79"/>
        <v>1.643644148734682E-11</v>
      </c>
    </row>
    <row r="100" spans="1:73" x14ac:dyDescent="0.2">
      <c r="A100" s="31">
        <v>39</v>
      </c>
      <c r="B100" s="4">
        <f>INDEX('vapour permeability'!$A$1:$AZ$450,A100,$C$12*2-1)</f>
        <v>8.2194749199999997</v>
      </c>
      <c r="C100" s="4">
        <f>INDEX('vapour permeability'!$A$1:$AZ$450,A100,$C$12*2)</f>
        <v>-15.77711152</v>
      </c>
      <c r="D100" s="49"/>
      <c r="X100" s="13">
        <v>1</v>
      </c>
      <c r="AY100">
        <f t="shared" si="80"/>
        <v>0</v>
      </c>
      <c r="AZ100" s="5">
        <f t="shared" si="81"/>
        <v>804.6</v>
      </c>
      <c r="BA100" s="5">
        <f t="shared" si="82"/>
        <v>358603.25202561129</v>
      </c>
      <c r="BB100" s="29" t="e">
        <f t="shared" si="83"/>
        <v>#NUM!</v>
      </c>
      <c r="BC100" s="29" t="e">
        <f t="shared" si="84"/>
        <v>#NUM!</v>
      </c>
      <c r="BD100" s="29" t="e">
        <f t="shared" si="85"/>
        <v>#NUM!</v>
      </c>
      <c r="BE100" s="29">
        <f t="shared" si="86"/>
        <v>0</v>
      </c>
      <c r="BF100" s="5" t="e">
        <f t="shared" si="87"/>
        <v>#NUM!</v>
      </c>
      <c r="BG100" s="29" t="e">
        <f t="shared" si="88"/>
        <v>#NUM!</v>
      </c>
      <c r="BH100" s="29" t="e">
        <f t="shared" si="89"/>
        <v>#NUM!</v>
      </c>
      <c r="BI100" s="29">
        <f t="shared" si="90"/>
        <v>0</v>
      </c>
      <c r="BJ100" s="30" t="e">
        <f t="shared" si="91"/>
        <v>#NUM!</v>
      </c>
      <c r="BK100" s="29" t="e">
        <f t="shared" si="92"/>
        <v>#NUM!</v>
      </c>
      <c r="BL100" s="29" t="e">
        <f t="shared" si="93"/>
        <v>#NUM!</v>
      </c>
      <c r="BM100" s="29">
        <f t="shared" si="94"/>
        <v>0</v>
      </c>
      <c r="BN100" s="5" t="e">
        <f t="shared" si="95"/>
        <v>#NUM!</v>
      </c>
      <c r="BO100" s="4">
        <f t="shared" si="73"/>
        <v>8.2194749199999997</v>
      </c>
      <c r="BP100" s="4">
        <f t="shared" si="74"/>
        <v>-15.77711152</v>
      </c>
      <c r="BQ100">
        <f t="shared" si="75"/>
        <v>8.2194749199999997</v>
      </c>
      <c r="BR100">
        <f t="shared" si="76"/>
        <v>-15.77711152</v>
      </c>
      <c r="BS100">
        <f t="shared" si="78"/>
        <v>1.6706615595841093E-16</v>
      </c>
      <c r="BT100" s="4">
        <f t="shared" si="77"/>
        <v>0.29418182304666912</v>
      </c>
      <c r="BU100" s="1">
        <f t="shared" si="79"/>
        <v>1.643644148734682E-11</v>
      </c>
    </row>
    <row r="101" spans="1:73" x14ac:dyDescent="0.2">
      <c r="A101" s="31">
        <v>40</v>
      </c>
      <c r="B101" s="4">
        <f>INDEX('vapour permeability'!$A$1:$AZ$450,A101,$C$12*2-1)</f>
        <v>8.2194749199999997</v>
      </c>
      <c r="C101" s="4">
        <f>INDEX('vapour permeability'!$A$1:$AZ$450,A101,$C$12*2)</f>
        <v>-15.77711152</v>
      </c>
      <c r="D101" s="49"/>
      <c r="X101" s="13">
        <v>1</v>
      </c>
      <c r="AY101">
        <f t="shared" si="80"/>
        <v>0</v>
      </c>
      <c r="AZ101" s="5">
        <f t="shared" si="81"/>
        <v>804.6</v>
      </c>
      <c r="BA101" s="5">
        <f t="shared" si="82"/>
        <v>358603.25202561129</v>
      </c>
      <c r="BB101" s="29" t="e">
        <f t="shared" si="83"/>
        <v>#NUM!</v>
      </c>
      <c r="BC101" s="29" t="e">
        <f t="shared" si="84"/>
        <v>#NUM!</v>
      </c>
      <c r="BD101" s="29" t="e">
        <f t="shared" si="85"/>
        <v>#NUM!</v>
      </c>
      <c r="BE101" s="29">
        <f t="shared" si="86"/>
        <v>0</v>
      </c>
      <c r="BF101" s="5" t="e">
        <f t="shared" si="87"/>
        <v>#NUM!</v>
      </c>
      <c r="BG101" s="29" t="e">
        <f t="shared" si="88"/>
        <v>#NUM!</v>
      </c>
      <c r="BH101" s="29" t="e">
        <f t="shared" si="89"/>
        <v>#NUM!</v>
      </c>
      <c r="BI101" s="29">
        <f t="shared" si="90"/>
        <v>0</v>
      </c>
      <c r="BJ101" s="30" t="e">
        <f t="shared" si="91"/>
        <v>#NUM!</v>
      </c>
      <c r="BK101" s="29" t="e">
        <f t="shared" si="92"/>
        <v>#NUM!</v>
      </c>
      <c r="BL101" s="29" t="e">
        <f t="shared" si="93"/>
        <v>#NUM!</v>
      </c>
      <c r="BM101" s="29">
        <f t="shared" si="94"/>
        <v>0</v>
      </c>
      <c r="BN101" s="5" t="e">
        <f t="shared" si="95"/>
        <v>#NUM!</v>
      </c>
      <c r="BO101" s="4">
        <f t="shared" si="73"/>
        <v>8.2194749199999997</v>
      </c>
      <c r="BP101" s="4">
        <f t="shared" si="74"/>
        <v>-15.77711152</v>
      </c>
      <c r="BQ101">
        <f t="shared" si="75"/>
        <v>8.2194749199999997</v>
      </c>
      <c r="BR101">
        <f t="shared" si="76"/>
        <v>-15.77711152</v>
      </c>
      <c r="BS101">
        <f t="shared" si="78"/>
        <v>1.6706615595841093E-16</v>
      </c>
      <c r="BT101" s="4">
        <f t="shared" si="77"/>
        <v>0.29418182304666912</v>
      </c>
      <c r="BU101" s="1">
        <f t="shared" si="79"/>
        <v>1.643644148734682E-11</v>
      </c>
    </row>
    <row r="102" spans="1:73" x14ac:dyDescent="0.2">
      <c r="A102" s="31">
        <v>41</v>
      </c>
      <c r="B102" s="4">
        <f>INDEX('vapour permeability'!$A$1:$AZ$450,A102,$C$12*2-1)</f>
        <v>8.2194749199999997</v>
      </c>
      <c r="C102" s="4">
        <f>INDEX('vapour permeability'!$A$1:$AZ$450,A102,$C$12*2)</f>
        <v>-15.77711152</v>
      </c>
      <c r="D102" s="49"/>
      <c r="X102" s="13">
        <v>1</v>
      </c>
      <c r="AY102">
        <f t="shared" si="80"/>
        <v>0</v>
      </c>
      <c r="AZ102" s="5">
        <f t="shared" si="81"/>
        <v>804.6</v>
      </c>
      <c r="BA102" s="5">
        <f t="shared" si="82"/>
        <v>358603.25202561129</v>
      </c>
      <c r="BB102" s="29" t="e">
        <f t="shared" si="83"/>
        <v>#NUM!</v>
      </c>
      <c r="BC102" s="29" t="e">
        <f t="shared" si="84"/>
        <v>#NUM!</v>
      </c>
      <c r="BD102" s="29" t="e">
        <f t="shared" si="85"/>
        <v>#NUM!</v>
      </c>
      <c r="BE102" s="29">
        <f t="shared" si="86"/>
        <v>0</v>
      </c>
      <c r="BF102" s="5" t="e">
        <f t="shared" si="87"/>
        <v>#NUM!</v>
      </c>
      <c r="BG102" s="29" t="e">
        <f t="shared" si="88"/>
        <v>#NUM!</v>
      </c>
      <c r="BH102" s="29" t="e">
        <f t="shared" si="89"/>
        <v>#NUM!</v>
      </c>
      <c r="BI102" s="29">
        <f t="shared" si="90"/>
        <v>0</v>
      </c>
      <c r="BJ102" s="30" t="e">
        <f t="shared" si="91"/>
        <v>#NUM!</v>
      </c>
      <c r="BK102" s="29" t="e">
        <f t="shared" si="92"/>
        <v>#NUM!</v>
      </c>
      <c r="BL102" s="29" t="e">
        <f t="shared" si="93"/>
        <v>#NUM!</v>
      </c>
      <c r="BM102" s="29">
        <f t="shared" si="94"/>
        <v>0</v>
      </c>
      <c r="BN102" s="5" t="e">
        <f t="shared" si="95"/>
        <v>#NUM!</v>
      </c>
      <c r="BO102" s="4">
        <f t="shared" si="73"/>
        <v>8.2194749199999997</v>
      </c>
      <c r="BP102" s="4">
        <f t="shared" si="74"/>
        <v>-15.77711152</v>
      </c>
      <c r="BQ102">
        <f t="shared" si="75"/>
        <v>8.2194749199999997</v>
      </c>
      <c r="BR102">
        <f t="shared" si="76"/>
        <v>-15.77711152</v>
      </c>
      <c r="BS102">
        <f t="shared" si="78"/>
        <v>1.6706615595841093E-16</v>
      </c>
      <c r="BT102" s="4">
        <f t="shared" si="77"/>
        <v>0.29418182304666912</v>
      </c>
      <c r="BU102" s="1">
        <f t="shared" si="79"/>
        <v>1.643644148734682E-11</v>
      </c>
    </row>
    <row r="103" spans="1:73" x14ac:dyDescent="0.2">
      <c r="A103" s="31">
        <v>42</v>
      </c>
      <c r="B103" s="4">
        <f>INDEX('vapour permeability'!$A$1:$AZ$450,A103,$C$12*2-1)</f>
        <v>8.2194749199999997</v>
      </c>
      <c r="C103" s="4">
        <f>INDEX('vapour permeability'!$A$1:$AZ$450,A103,$C$12*2)</f>
        <v>-15.77711152</v>
      </c>
      <c r="D103" s="49"/>
      <c r="X103" s="13">
        <v>1</v>
      </c>
      <c r="AY103">
        <f t="shared" si="80"/>
        <v>0</v>
      </c>
      <c r="AZ103" s="5">
        <f t="shared" si="81"/>
        <v>804.6</v>
      </c>
      <c r="BA103" s="5">
        <f t="shared" si="82"/>
        <v>358603.25202561129</v>
      </c>
      <c r="BB103" s="29" t="e">
        <f t="shared" si="83"/>
        <v>#NUM!</v>
      </c>
      <c r="BC103" s="29" t="e">
        <f t="shared" si="84"/>
        <v>#NUM!</v>
      </c>
      <c r="BD103" s="29" t="e">
        <f t="shared" si="85"/>
        <v>#NUM!</v>
      </c>
      <c r="BE103" s="29">
        <f t="shared" si="86"/>
        <v>0</v>
      </c>
      <c r="BF103" s="5" t="e">
        <f t="shared" si="87"/>
        <v>#NUM!</v>
      </c>
      <c r="BG103" s="29" t="e">
        <f t="shared" si="88"/>
        <v>#NUM!</v>
      </c>
      <c r="BH103" s="29" t="e">
        <f t="shared" si="89"/>
        <v>#NUM!</v>
      </c>
      <c r="BI103" s="29">
        <f t="shared" si="90"/>
        <v>0</v>
      </c>
      <c r="BJ103" s="30" t="e">
        <f t="shared" si="91"/>
        <v>#NUM!</v>
      </c>
      <c r="BK103" s="29" t="e">
        <f t="shared" si="92"/>
        <v>#NUM!</v>
      </c>
      <c r="BL103" s="29" t="e">
        <f t="shared" si="93"/>
        <v>#NUM!</v>
      </c>
      <c r="BM103" s="29">
        <f t="shared" si="94"/>
        <v>0</v>
      </c>
      <c r="BN103" s="5" t="e">
        <f t="shared" si="95"/>
        <v>#NUM!</v>
      </c>
      <c r="BO103" s="4">
        <f t="shared" ref="BO103:BO134" si="96">B160</f>
        <v>8.2194749199999997</v>
      </c>
      <c r="BP103" s="4">
        <f t="shared" ref="BP103:BP134" si="97">C160</f>
        <v>-15.77711152</v>
      </c>
      <c r="BQ103">
        <f t="shared" ref="BQ103:BQ134" si="98">IF(C$48=4,BO103,Z103)</f>
        <v>8.2194749199999997</v>
      </c>
      <c r="BR103">
        <f t="shared" ref="BR103:BR134" si="99">IF(C$48=1,AY103,IF(C$48=2,BA103,IF(C$48=3,BN103,BP103)))</f>
        <v>-15.77711152</v>
      </c>
      <c r="BS103">
        <f t="shared" si="78"/>
        <v>1.6706615595841093E-16</v>
      </c>
      <c r="BT103" s="4">
        <f t="shared" ref="BT103:BT134" si="100">IF(C$48=4,EXP(-(10^BQ103)/(($C$9+273.3)*$C$10*$C$11)),X103)</f>
        <v>0.29418182304666912</v>
      </c>
      <c r="BU103" s="1">
        <f t="shared" si="79"/>
        <v>1.643644148734682E-11</v>
      </c>
    </row>
    <row r="104" spans="1:73" x14ac:dyDescent="0.2">
      <c r="A104" s="31">
        <v>43</v>
      </c>
      <c r="B104" s="4">
        <f>INDEX('vapour permeability'!$A$1:$AZ$450,A104,$C$12*2-1)</f>
        <v>8.2194749199999997</v>
      </c>
      <c r="C104" s="4">
        <f>INDEX('vapour permeability'!$A$1:$AZ$450,A104,$C$12*2)</f>
        <v>-15.77711152</v>
      </c>
      <c r="D104" s="49"/>
      <c r="X104" s="13">
        <v>1</v>
      </c>
      <c r="AY104">
        <f t="shared" si="80"/>
        <v>0</v>
      </c>
      <c r="AZ104" s="5">
        <f t="shared" si="81"/>
        <v>804.6</v>
      </c>
      <c r="BA104" s="5">
        <f t="shared" si="82"/>
        <v>358603.25202561129</v>
      </c>
      <c r="BB104" s="29" t="e">
        <f t="shared" si="83"/>
        <v>#NUM!</v>
      </c>
      <c r="BC104" s="29" t="e">
        <f t="shared" si="84"/>
        <v>#NUM!</v>
      </c>
      <c r="BD104" s="29" t="e">
        <f t="shared" si="85"/>
        <v>#NUM!</v>
      </c>
      <c r="BE104" s="29">
        <f t="shared" si="86"/>
        <v>0</v>
      </c>
      <c r="BF104" s="5" t="e">
        <f t="shared" si="87"/>
        <v>#NUM!</v>
      </c>
      <c r="BG104" s="29" t="e">
        <f t="shared" si="88"/>
        <v>#NUM!</v>
      </c>
      <c r="BH104" s="29" t="e">
        <f t="shared" si="89"/>
        <v>#NUM!</v>
      </c>
      <c r="BI104" s="29">
        <f t="shared" si="90"/>
        <v>0</v>
      </c>
      <c r="BJ104" s="30" t="e">
        <f t="shared" si="91"/>
        <v>#NUM!</v>
      </c>
      <c r="BK104" s="29" t="e">
        <f t="shared" si="92"/>
        <v>#NUM!</v>
      </c>
      <c r="BL104" s="29" t="e">
        <f t="shared" si="93"/>
        <v>#NUM!</v>
      </c>
      <c r="BM104" s="29">
        <f t="shared" si="94"/>
        <v>0</v>
      </c>
      <c r="BN104" s="5" t="e">
        <f t="shared" si="95"/>
        <v>#NUM!</v>
      </c>
      <c r="BO104" s="4">
        <f t="shared" si="96"/>
        <v>8.2194749199999997</v>
      </c>
      <c r="BP104" s="4">
        <f t="shared" si="97"/>
        <v>-15.77711152</v>
      </c>
      <c r="BQ104">
        <f t="shared" si="98"/>
        <v>8.2194749199999997</v>
      </c>
      <c r="BR104">
        <f t="shared" si="99"/>
        <v>-15.77711152</v>
      </c>
      <c r="BS104">
        <f t="shared" si="78"/>
        <v>1.6706615595841093E-16</v>
      </c>
      <c r="BT104" s="4">
        <f t="shared" si="100"/>
        <v>0.29418182304666912</v>
      </c>
      <c r="BU104" s="1">
        <f t="shared" si="79"/>
        <v>1.643644148734682E-11</v>
      </c>
    </row>
    <row r="105" spans="1:73" x14ac:dyDescent="0.2">
      <c r="A105" s="31">
        <v>44</v>
      </c>
      <c r="B105" s="4">
        <f>INDEX('vapour permeability'!$A$1:$AZ$450,A105,$C$12*2-1)</f>
        <v>8.2194749199999997</v>
      </c>
      <c r="C105" s="4">
        <f>INDEX('vapour permeability'!$A$1:$AZ$450,A105,$C$12*2)</f>
        <v>-15.77711152</v>
      </c>
      <c r="D105" s="49"/>
      <c r="X105" s="13">
        <v>1</v>
      </c>
      <c r="AY105">
        <f t="shared" si="80"/>
        <v>0</v>
      </c>
      <c r="AZ105" s="5">
        <f t="shared" si="81"/>
        <v>804.6</v>
      </c>
      <c r="BA105" s="5">
        <f t="shared" si="82"/>
        <v>358603.25202561129</v>
      </c>
      <c r="BB105" s="29" t="e">
        <f t="shared" si="83"/>
        <v>#NUM!</v>
      </c>
      <c r="BC105" s="29" t="e">
        <f t="shared" si="84"/>
        <v>#NUM!</v>
      </c>
      <c r="BD105" s="29" t="e">
        <f t="shared" si="85"/>
        <v>#NUM!</v>
      </c>
      <c r="BE105" s="29">
        <f t="shared" si="86"/>
        <v>0</v>
      </c>
      <c r="BF105" s="5" t="e">
        <f t="shared" si="87"/>
        <v>#NUM!</v>
      </c>
      <c r="BG105" s="29" t="e">
        <f t="shared" si="88"/>
        <v>#NUM!</v>
      </c>
      <c r="BH105" s="29" t="e">
        <f t="shared" si="89"/>
        <v>#NUM!</v>
      </c>
      <c r="BI105" s="29">
        <f t="shared" si="90"/>
        <v>0</v>
      </c>
      <c r="BJ105" s="30" t="e">
        <f t="shared" si="91"/>
        <v>#NUM!</v>
      </c>
      <c r="BK105" s="29" t="e">
        <f t="shared" si="92"/>
        <v>#NUM!</v>
      </c>
      <c r="BL105" s="29" t="e">
        <f t="shared" si="93"/>
        <v>#NUM!</v>
      </c>
      <c r="BM105" s="29">
        <f t="shared" si="94"/>
        <v>0</v>
      </c>
      <c r="BN105" s="5" t="e">
        <f t="shared" si="95"/>
        <v>#NUM!</v>
      </c>
      <c r="BO105" s="4">
        <f t="shared" si="96"/>
        <v>8.2194749199999997</v>
      </c>
      <c r="BP105" s="4">
        <f t="shared" si="97"/>
        <v>-15.77711152</v>
      </c>
      <c r="BQ105">
        <f t="shared" si="98"/>
        <v>8.2194749199999997</v>
      </c>
      <c r="BR105">
        <f t="shared" si="99"/>
        <v>-15.77711152</v>
      </c>
      <c r="BS105">
        <f t="shared" si="78"/>
        <v>1.6706615595841093E-16</v>
      </c>
      <c r="BT105" s="4">
        <f t="shared" si="100"/>
        <v>0.29418182304666912</v>
      </c>
      <c r="BU105" s="1">
        <f t="shared" si="79"/>
        <v>1.643644148734682E-11</v>
      </c>
    </row>
    <row r="106" spans="1:73" x14ac:dyDescent="0.2">
      <c r="A106" s="31">
        <v>45</v>
      </c>
      <c r="B106" s="4">
        <f>INDEX('vapour permeability'!$A$1:$AZ$450,A106,$C$12*2-1)</f>
        <v>8.2194749199999997</v>
      </c>
      <c r="C106" s="4">
        <f>INDEX('vapour permeability'!$A$1:$AZ$450,A106,$C$12*2)</f>
        <v>-15.77711152</v>
      </c>
      <c r="D106" s="49"/>
      <c r="X106" s="13">
        <v>1</v>
      </c>
      <c r="AY106">
        <f t="shared" si="80"/>
        <v>0</v>
      </c>
      <c r="AZ106" s="5">
        <f t="shared" si="81"/>
        <v>804.6</v>
      </c>
      <c r="BA106" s="5">
        <f t="shared" si="82"/>
        <v>358603.25202561129</v>
      </c>
      <c r="BB106" s="29" t="e">
        <f t="shared" si="83"/>
        <v>#NUM!</v>
      </c>
      <c r="BC106" s="29" t="e">
        <f t="shared" si="84"/>
        <v>#NUM!</v>
      </c>
      <c r="BD106" s="29" t="e">
        <f t="shared" si="85"/>
        <v>#NUM!</v>
      </c>
      <c r="BE106" s="29">
        <f t="shared" si="86"/>
        <v>0</v>
      </c>
      <c r="BF106" s="5" t="e">
        <f t="shared" si="87"/>
        <v>#NUM!</v>
      </c>
      <c r="BG106" s="29" t="e">
        <f t="shared" si="88"/>
        <v>#NUM!</v>
      </c>
      <c r="BH106" s="29" t="e">
        <f t="shared" si="89"/>
        <v>#NUM!</v>
      </c>
      <c r="BI106" s="29">
        <f t="shared" si="90"/>
        <v>0</v>
      </c>
      <c r="BJ106" s="30" t="e">
        <f t="shared" si="91"/>
        <v>#NUM!</v>
      </c>
      <c r="BK106" s="29" t="e">
        <f t="shared" si="92"/>
        <v>#NUM!</v>
      </c>
      <c r="BL106" s="29" t="e">
        <f t="shared" si="93"/>
        <v>#NUM!</v>
      </c>
      <c r="BM106" s="29">
        <f t="shared" si="94"/>
        <v>0</v>
      </c>
      <c r="BN106" s="5" t="e">
        <f t="shared" si="95"/>
        <v>#NUM!</v>
      </c>
      <c r="BO106" s="4">
        <f t="shared" si="96"/>
        <v>8.2194749199999997</v>
      </c>
      <c r="BP106" s="4">
        <f t="shared" si="97"/>
        <v>-15.77711152</v>
      </c>
      <c r="BQ106">
        <f t="shared" si="98"/>
        <v>8.2194749199999997</v>
      </c>
      <c r="BR106">
        <f t="shared" si="99"/>
        <v>-15.77711152</v>
      </c>
      <c r="BS106">
        <f t="shared" si="78"/>
        <v>1.6706615595841093E-16</v>
      </c>
      <c r="BT106" s="4">
        <f t="shared" si="100"/>
        <v>0.29418182304666912</v>
      </c>
      <c r="BU106" s="1">
        <f t="shared" si="79"/>
        <v>1.643644148734682E-11</v>
      </c>
    </row>
    <row r="107" spans="1:73" x14ac:dyDescent="0.2">
      <c r="A107" s="31">
        <v>46</v>
      </c>
      <c r="B107" s="4">
        <f>INDEX('vapour permeability'!$A$1:$AZ$450,A107,$C$12*2-1)</f>
        <v>8.2194749199999997</v>
      </c>
      <c r="C107" s="4">
        <f>INDEX('vapour permeability'!$A$1:$AZ$450,A107,$C$12*2)</f>
        <v>-15.77711152</v>
      </c>
      <c r="D107" s="49"/>
      <c r="X107" s="13">
        <v>1</v>
      </c>
      <c r="AY107">
        <f t="shared" si="80"/>
        <v>0</v>
      </c>
      <c r="AZ107" s="5">
        <f t="shared" si="81"/>
        <v>804.6</v>
      </c>
      <c r="BA107" s="5">
        <f t="shared" si="82"/>
        <v>358603.25202561129</v>
      </c>
      <c r="BB107" s="29" t="e">
        <f t="shared" si="83"/>
        <v>#NUM!</v>
      </c>
      <c r="BC107" s="29" t="e">
        <f t="shared" si="84"/>
        <v>#NUM!</v>
      </c>
      <c r="BD107" s="29" t="e">
        <f t="shared" si="85"/>
        <v>#NUM!</v>
      </c>
      <c r="BE107" s="29">
        <f t="shared" si="86"/>
        <v>0</v>
      </c>
      <c r="BF107" s="5" t="e">
        <f t="shared" si="87"/>
        <v>#NUM!</v>
      </c>
      <c r="BG107" s="29" t="e">
        <f t="shared" si="88"/>
        <v>#NUM!</v>
      </c>
      <c r="BH107" s="29" t="e">
        <f t="shared" si="89"/>
        <v>#NUM!</v>
      </c>
      <c r="BI107" s="29">
        <f t="shared" si="90"/>
        <v>0</v>
      </c>
      <c r="BJ107" s="30" t="e">
        <f t="shared" si="91"/>
        <v>#NUM!</v>
      </c>
      <c r="BK107" s="29" t="e">
        <f t="shared" si="92"/>
        <v>#NUM!</v>
      </c>
      <c r="BL107" s="29" t="e">
        <f t="shared" si="93"/>
        <v>#NUM!</v>
      </c>
      <c r="BM107" s="29">
        <f t="shared" si="94"/>
        <v>0</v>
      </c>
      <c r="BN107" s="5" t="e">
        <f t="shared" si="95"/>
        <v>#NUM!</v>
      </c>
      <c r="BO107" s="4">
        <f t="shared" si="96"/>
        <v>8.2194749199999997</v>
      </c>
      <c r="BP107" s="4">
        <f t="shared" si="97"/>
        <v>-15.77711152</v>
      </c>
      <c r="BQ107">
        <f t="shared" si="98"/>
        <v>8.2194749199999997</v>
      </c>
      <c r="BR107">
        <f t="shared" si="99"/>
        <v>-15.77711152</v>
      </c>
      <c r="BS107">
        <f t="shared" si="78"/>
        <v>1.6706615595841093E-16</v>
      </c>
      <c r="BT107" s="4">
        <f t="shared" si="100"/>
        <v>0.29418182304666912</v>
      </c>
      <c r="BU107" s="1">
        <f t="shared" si="79"/>
        <v>1.643644148734682E-11</v>
      </c>
    </row>
    <row r="108" spans="1:73" x14ac:dyDescent="0.2">
      <c r="A108" s="31">
        <v>47</v>
      </c>
      <c r="B108" s="4">
        <f>INDEX('vapour permeability'!$A$1:$AZ$450,A108,$C$12*2-1)</f>
        <v>8.2194749199999997</v>
      </c>
      <c r="C108" s="4">
        <f>INDEX('vapour permeability'!$A$1:$AZ$450,A108,$C$12*2)</f>
        <v>-15.77711152</v>
      </c>
      <c r="D108" s="49"/>
      <c r="X108" s="13">
        <v>1</v>
      </c>
      <c r="AY108">
        <f t="shared" si="80"/>
        <v>0</v>
      </c>
      <c r="AZ108" s="5">
        <f t="shared" si="81"/>
        <v>804.6</v>
      </c>
      <c r="BA108" s="5">
        <f t="shared" si="82"/>
        <v>358603.25202561129</v>
      </c>
      <c r="BB108" s="29" t="e">
        <f t="shared" si="83"/>
        <v>#NUM!</v>
      </c>
      <c r="BC108" s="29" t="e">
        <f t="shared" si="84"/>
        <v>#NUM!</v>
      </c>
      <c r="BD108" s="29" t="e">
        <f t="shared" si="85"/>
        <v>#NUM!</v>
      </c>
      <c r="BE108" s="29">
        <f t="shared" si="86"/>
        <v>0</v>
      </c>
      <c r="BF108" s="5" t="e">
        <f t="shared" si="87"/>
        <v>#NUM!</v>
      </c>
      <c r="BG108" s="29" t="e">
        <f t="shared" si="88"/>
        <v>#NUM!</v>
      </c>
      <c r="BH108" s="29" t="e">
        <f t="shared" si="89"/>
        <v>#NUM!</v>
      </c>
      <c r="BI108" s="29">
        <f t="shared" si="90"/>
        <v>0</v>
      </c>
      <c r="BJ108" s="30" t="e">
        <f t="shared" si="91"/>
        <v>#NUM!</v>
      </c>
      <c r="BK108" s="29" t="e">
        <f t="shared" si="92"/>
        <v>#NUM!</v>
      </c>
      <c r="BL108" s="29" t="e">
        <f t="shared" si="93"/>
        <v>#NUM!</v>
      </c>
      <c r="BM108" s="29">
        <f t="shared" si="94"/>
        <v>0</v>
      </c>
      <c r="BN108" s="5" t="e">
        <f t="shared" si="95"/>
        <v>#NUM!</v>
      </c>
      <c r="BO108" s="4">
        <f t="shared" si="96"/>
        <v>8.2194749199999997</v>
      </c>
      <c r="BP108" s="4">
        <f t="shared" si="97"/>
        <v>-15.77711152</v>
      </c>
      <c r="BQ108">
        <f t="shared" si="98"/>
        <v>8.2194749199999997</v>
      </c>
      <c r="BR108">
        <f t="shared" si="99"/>
        <v>-15.77711152</v>
      </c>
      <c r="BS108">
        <f t="shared" si="78"/>
        <v>1.6706615595841093E-16</v>
      </c>
      <c r="BT108" s="4">
        <f t="shared" si="100"/>
        <v>0.29418182304666912</v>
      </c>
      <c r="BU108" s="1">
        <f t="shared" si="79"/>
        <v>1.643644148734682E-11</v>
      </c>
    </row>
    <row r="109" spans="1:73" x14ac:dyDescent="0.2">
      <c r="A109" s="31">
        <v>48</v>
      </c>
      <c r="B109" s="4">
        <f>INDEX('vapour permeability'!$A$1:$AZ$450,A109,$C$12*2-1)</f>
        <v>8.2194749199999997</v>
      </c>
      <c r="C109" s="4">
        <f>INDEX('vapour permeability'!$A$1:$AZ$450,A109,$C$12*2)</f>
        <v>-15.77711152</v>
      </c>
      <c r="D109" s="49"/>
      <c r="X109" s="13">
        <v>1</v>
      </c>
      <c r="AY109">
        <f t="shared" si="80"/>
        <v>0</v>
      </c>
      <c r="AZ109" s="5">
        <f t="shared" si="81"/>
        <v>804.6</v>
      </c>
      <c r="BA109" s="5">
        <f t="shared" si="82"/>
        <v>358603.25202561129</v>
      </c>
      <c r="BB109" s="29" t="e">
        <f t="shared" si="83"/>
        <v>#NUM!</v>
      </c>
      <c r="BC109" s="29" t="e">
        <f t="shared" si="84"/>
        <v>#NUM!</v>
      </c>
      <c r="BD109" s="29" t="e">
        <f t="shared" si="85"/>
        <v>#NUM!</v>
      </c>
      <c r="BE109" s="29">
        <f t="shared" si="86"/>
        <v>0</v>
      </c>
      <c r="BF109" s="5" t="e">
        <f t="shared" si="87"/>
        <v>#NUM!</v>
      </c>
      <c r="BG109" s="29" t="e">
        <f t="shared" si="88"/>
        <v>#NUM!</v>
      </c>
      <c r="BH109" s="29" t="e">
        <f t="shared" si="89"/>
        <v>#NUM!</v>
      </c>
      <c r="BI109" s="29">
        <f t="shared" si="90"/>
        <v>0</v>
      </c>
      <c r="BJ109" s="30" t="e">
        <f t="shared" si="91"/>
        <v>#NUM!</v>
      </c>
      <c r="BK109" s="29" t="e">
        <f t="shared" si="92"/>
        <v>#NUM!</v>
      </c>
      <c r="BL109" s="29" t="e">
        <f t="shared" si="93"/>
        <v>#NUM!</v>
      </c>
      <c r="BM109" s="29">
        <f t="shared" si="94"/>
        <v>0</v>
      </c>
      <c r="BN109" s="5" t="e">
        <f t="shared" si="95"/>
        <v>#NUM!</v>
      </c>
      <c r="BO109" s="4">
        <f t="shared" si="96"/>
        <v>8.2194749199999997</v>
      </c>
      <c r="BP109" s="4">
        <f t="shared" si="97"/>
        <v>-15.77711152</v>
      </c>
      <c r="BQ109">
        <f t="shared" si="98"/>
        <v>8.2194749199999997</v>
      </c>
      <c r="BR109">
        <f t="shared" si="99"/>
        <v>-15.77711152</v>
      </c>
      <c r="BS109">
        <f t="shared" si="78"/>
        <v>1.6706615595841093E-16</v>
      </c>
      <c r="BT109" s="4">
        <f t="shared" si="100"/>
        <v>0.29418182304666912</v>
      </c>
      <c r="BU109" s="1">
        <f t="shared" si="79"/>
        <v>1.643644148734682E-11</v>
      </c>
    </row>
    <row r="110" spans="1:73" x14ac:dyDescent="0.2">
      <c r="A110" s="31">
        <v>49</v>
      </c>
      <c r="B110" s="4">
        <f>INDEX('vapour permeability'!$A$1:$AZ$450,A110,$C$12*2-1)</f>
        <v>8.2194749199999997</v>
      </c>
      <c r="C110" s="4">
        <f>INDEX('vapour permeability'!$A$1:$AZ$450,A110,$C$12*2)</f>
        <v>-15.77711152</v>
      </c>
      <c r="D110" s="49"/>
      <c r="X110" s="13">
        <v>1</v>
      </c>
      <c r="AY110">
        <f t="shared" si="80"/>
        <v>0</v>
      </c>
      <c r="AZ110" s="5">
        <f t="shared" si="81"/>
        <v>804.6</v>
      </c>
      <c r="BA110" s="5">
        <f t="shared" si="82"/>
        <v>358603.25202561129</v>
      </c>
      <c r="BB110" s="29" t="e">
        <f t="shared" si="83"/>
        <v>#NUM!</v>
      </c>
      <c r="BC110" s="29" t="e">
        <f t="shared" si="84"/>
        <v>#NUM!</v>
      </c>
      <c r="BD110" s="29" t="e">
        <f t="shared" si="85"/>
        <v>#NUM!</v>
      </c>
      <c r="BE110" s="29">
        <f t="shared" si="86"/>
        <v>0</v>
      </c>
      <c r="BF110" s="5" t="e">
        <f t="shared" si="87"/>
        <v>#NUM!</v>
      </c>
      <c r="BG110" s="29" t="e">
        <f t="shared" si="88"/>
        <v>#NUM!</v>
      </c>
      <c r="BH110" s="29" t="e">
        <f t="shared" si="89"/>
        <v>#NUM!</v>
      </c>
      <c r="BI110" s="29">
        <f t="shared" si="90"/>
        <v>0</v>
      </c>
      <c r="BJ110" s="30" t="e">
        <f t="shared" si="91"/>
        <v>#NUM!</v>
      </c>
      <c r="BK110" s="29" t="e">
        <f t="shared" si="92"/>
        <v>#NUM!</v>
      </c>
      <c r="BL110" s="29" t="e">
        <f t="shared" si="93"/>
        <v>#NUM!</v>
      </c>
      <c r="BM110" s="29">
        <f t="shared" si="94"/>
        <v>0</v>
      </c>
      <c r="BN110" s="5" t="e">
        <f t="shared" si="95"/>
        <v>#NUM!</v>
      </c>
      <c r="BO110" s="4">
        <f t="shared" si="96"/>
        <v>8.2194749199999997</v>
      </c>
      <c r="BP110" s="4">
        <f t="shared" si="97"/>
        <v>-15.77711152</v>
      </c>
      <c r="BQ110">
        <f t="shared" si="98"/>
        <v>8.2194749199999997</v>
      </c>
      <c r="BR110">
        <f t="shared" si="99"/>
        <v>-15.77711152</v>
      </c>
      <c r="BS110">
        <f t="shared" si="78"/>
        <v>1.6706615595841093E-16</v>
      </c>
      <c r="BT110" s="4">
        <f t="shared" si="100"/>
        <v>0.29418182304666912</v>
      </c>
      <c r="BU110" s="1">
        <f t="shared" si="79"/>
        <v>1.643644148734682E-11</v>
      </c>
    </row>
    <row r="111" spans="1:73" x14ac:dyDescent="0.2">
      <c r="A111" s="31">
        <v>50</v>
      </c>
      <c r="B111" s="4">
        <f>INDEX('vapour permeability'!$A$1:$AZ$450,A111,$C$12*2-1)</f>
        <v>8.2194749199999997</v>
      </c>
      <c r="C111" s="4">
        <f>INDEX('vapour permeability'!$A$1:$AZ$450,A111,$C$12*2)</f>
        <v>-15.77711152</v>
      </c>
      <c r="D111" s="49"/>
      <c r="X111" s="13">
        <v>1</v>
      </c>
      <c r="AY111">
        <f t="shared" si="80"/>
        <v>0</v>
      </c>
      <c r="AZ111" s="5">
        <f t="shared" si="81"/>
        <v>804.6</v>
      </c>
      <c r="BA111" s="5">
        <f t="shared" si="82"/>
        <v>358603.25202561129</v>
      </c>
      <c r="BB111" s="29" t="e">
        <f t="shared" si="83"/>
        <v>#NUM!</v>
      </c>
      <c r="BC111" s="29" t="e">
        <f t="shared" si="84"/>
        <v>#NUM!</v>
      </c>
      <c r="BD111" s="29" t="e">
        <f t="shared" si="85"/>
        <v>#NUM!</v>
      </c>
      <c r="BE111" s="29">
        <f t="shared" si="86"/>
        <v>0</v>
      </c>
      <c r="BF111" s="5" t="e">
        <f t="shared" si="87"/>
        <v>#NUM!</v>
      </c>
      <c r="BG111" s="29" t="e">
        <f t="shared" si="88"/>
        <v>#NUM!</v>
      </c>
      <c r="BH111" s="29" t="e">
        <f t="shared" si="89"/>
        <v>#NUM!</v>
      </c>
      <c r="BI111" s="29">
        <f t="shared" si="90"/>
        <v>0</v>
      </c>
      <c r="BJ111" s="30" t="e">
        <f t="shared" si="91"/>
        <v>#NUM!</v>
      </c>
      <c r="BK111" s="29" t="e">
        <f t="shared" si="92"/>
        <v>#NUM!</v>
      </c>
      <c r="BL111" s="29" t="e">
        <f t="shared" si="93"/>
        <v>#NUM!</v>
      </c>
      <c r="BM111" s="29">
        <f t="shared" si="94"/>
        <v>0</v>
      </c>
      <c r="BN111" s="5" t="e">
        <f t="shared" si="95"/>
        <v>#NUM!</v>
      </c>
      <c r="BO111" s="4">
        <f t="shared" si="96"/>
        <v>8.2194749199999997</v>
      </c>
      <c r="BP111" s="4">
        <f t="shared" si="97"/>
        <v>-15.77711152</v>
      </c>
      <c r="BQ111">
        <f t="shared" si="98"/>
        <v>8.2194749199999997</v>
      </c>
      <c r="BR111">
        <f t="shared" si="99"/>
        <v>-15.77711152</v>
      </c>
      <c r="BS111">
        <f t="shared" si="78"/>
        <v>1.6706615595841093E-16</v>
      </c>
      <c r="BT111" s="4">
        <f t="shared" si="100"/>
        <v>0.29418182304666912</v>
      </c>
      <c r="BU111" s="1">
        <f t="shared" si="79"/>
        <v>1.643644148734682E-11</v>
      </c>
    </row>
    <row r="112" spans="1:73" x14ac:dyDescent="0.2">
      <c r="A112" s="31">
        <v>51</v>
      </c>
      <c r="B112" s="4">
        <f>INDEX('vapour permeability'!$A$1:$AZ$450,A112,$C$12*2-1)</f>
        <v>8.2194749199999997</v>
      </c>
      <c r="C112" s="4">
        <f>INDEX('vapour permeability'!$A$1:$AZ$450,A112,$C$12*2)</f>
        <v>-15.77711152</v>
      </c>
      <c r="D112" s="49"/>
      <c r="X112" s="13">
        <v>1</v>
      </c>
      <c r="AY112">
        <f t="shared" si="80"/>
        <v>0</v>
      </c>
      <c r="AZ112" s="5">
        <f t="shared" si="81"/>
        <v>804.6</v>
      </c>
      <c r="BA112" s="5">
        <f t="shared" si="82"/>
        <v>358603.25202561129</v>
      </c>
      <c r="BB112" s="29" t="e">
        <f t="shared" si="83"/>
        <v>#NUM!</v>
      </c>
      <c r="BC112" s="29" t="e">
        <f t="shared" si="84"/>
        <v>#NUM!</v>
      </c>
      <c r="BD112" s="29" t="e">
        <f t="shared" si="85"/>
        <v>#NUM!</v>
      </c>
      <c r="BE112" s="29">
        <f t="shared" si="86"/>
        <v>0</v>
      </c>
      <c r="BF112" s="5" t="e">
        <f t="shared" si="87"/>
        <v>#NUM!</v>
      </c>
      <c r="BG112" s="29" t="e">
        <f t="shared" si="88"/>
        <v>#NUM!</v>
      </c>
      <c r="BH112" s="29" t="e">
        <f t="shared" si="89"/>
        <v>#NUM!</v>
      </c>
      <c r="BI112" s="29">
        <f t="shared" si="90"/>
        <v>0</v>
      </c>
      <c r="BJ112" s="30" t="e">
        <f t="shared" si="91"/>
        <v>#NUM!</v>
      </c>
      <c r="BK112" s="29" t="e">
        <f t="shared" si="92"/>
        <v>#NUM!</v>
      </c>
      <c r="BL112" s="29" t="e">
        <f t="shared" si="93"/>
        <v>#NUM!</v>
      </c>
      <c r="BM112" s="29">
        <f t="shared" si="94"/>
        <v>0</v>
      </c>
      <c r="BN112" s="5" t="e">
        <f t="shared" si="95"/>
        <v>#NUM!</v>
      </c>
      <c r="BO112" s="4">
        <f t="shared" si="96"/>
        <v>8.2194749199999997</v>
      </c>
      <c r="BP112" s="4">
        <f t="shared" si="97"/>
        <v>-15.77711152</v>
      </c>
      <c r="BQ112">
        <f t="shared" si="98"/>
        <v>8.2194749199999997</v>
      </c>
      <c r="BR112">
        <f t="shared" si="99"/>
        <v>-15.77711152</v>
      </c>
      <c r="BS112">
        <f t="shared" si="78"/>
        <v>1.6706615595841093E-16</v>
      </c>
      <c r="BT112" s="4">
        <f t="shared" si="100"/>
        <v>0.29418182304666912</v>
      </c>
      <c r="BU112" s="1">
        <f t="shared" si="79"/>
        <v>1.643644148734682E-11</v>
      </c>
    </row>
    <row r="113" spans="1:73" x14ac:dyDescent="0.2">
      <c r="A113" s="31">
        <v>52</v>
      </c>
      <c r="B113" s="4">
        <f>INDEX('vapour permeability'!$A$1:$AZ$450,A113,$C$12*2-1)</f>
        <v>8.2194749199999997</v>
      </c>
      <c r="C113" s="4">
        <f>INDEX('vapour permeability'!$A$1:$AZ$450,A113,$C$12*2)</f>
        <v>-15.77711152</v>
      </c>
      <c r="D113" s="49"/>
      <c r="X113" s="13">
        <v>1</v>
      </c>
      <c r="AY113">
        <f t="shared" si="80"/>
        <v>0</v>
      </c>
      <c r="AZ113" s="5">
        <f t="shared" si="81"/>
        <v>804.6</v>
      </c>
      <c r="BA113" s="5">
        <f t="shared" si="82"/>
        <v>358603.25202561129</v>
      </c>
      <c r="BB113" s="29" t="e">
        <f t="shared" si="83"/>
        <v>#NUM!</v>
      </c>
      <c r="BC113" s="29" t="e">
        <f t="shared" si="84"/>
        <v>#NUM!</v>
      </c>
      <c r="BD113" s="29" t="e">
        <f t="shared" si="85"/>
        <v>#NUM!</v>
      </c>
      <c r="BE113" s="29">
        <f t="shared" si="86"/>
        <v>0</v>
      </c>
      <c r="BF113" s="5" t="e">
        <f t="shared" si="87"/>
        <v>#NUM!</v>
      </c>
      <c r="BG113" s="29" t="e">
        <f t="shared" si="88"/>
        <v>#NUM!</v>
      </c>
      <c r="BH113" s="29" t="e">
        <f t="shared" si="89"/>
        <v>#NUM!</v>
      </c>
      <c r="BI113" s="29">
        <f t="shared" si="90"/>
        <v>0</v>
      </c>
      <c r="BJ113" s="30" t="e">
        <f t="shared" si="91"/>
        <v>#NUM!</v>
      </c>
      <c r="BK113" s="29" t="e">
        <f t="shared" si="92"/>
        <v>#NUM!</v>
      </c>
      <c r="BL113" s="29" t="e">
        <f t="shared" si="93"/>
        <v>#NUM!</v>
      </c>
      <c r="BM113" s="29">
        <f t="shared" si="94"/>
        <v>0</v>
      </c>
      <c r="BN113" s="5" t="e">
        <f t="shared" si="95"/>
        <v>#NUM!</v>
      </c>
      <c r="BO113" s="4">
        <f t="shared" si="96"/>
        <v>8.2194749199999997</v>
      </c>
      <c r="BP113" s="4">
        <f t="shared" si="97"/>
        <v>-15.77711152</v>
      </c>
      <c r="BQ113">
        <f t="shared" si="98"/>
        <v>8.2194749199999997</v>
      </c>
      <c r="BR113">
        <f t="shared" si="99"/>
        <v>-15.77711152</v>
      </c>
      <c r="BS113">
        <f t="shared" si="78"/>
        <v>1.6706615595841093E-16</v>
      </c>
      <c r="BT113" s="4">
        <f t="shared" si="100"/>
        <v>0.29418182304666912</v>
      </c>
      <c r="BU113" s="1">
        <f t="shared" si="79"/>
        <v>1.643644148734682E-11</v>
      </c>
    </row>
    <row r="114" spans="1:73" x14ac:dyDescent="0.2">
      <c r="A114" s="31">
        <v>53</v>
      </c>
      <c r="B114" s="4">
        <f>INDEX('vapour permeability'!$A$1:$AZ$450,A114,$C$12*2-1)</f>
        <v>8.2194749199999997</v>
      </c>
      <c r="C114" s="4">
        <f>INDEX('vapour permeability'!$A$1:$AZ$450,A114,$C$12*2)</f>
        <v>-15.77711152</v>
      </c>
      <c r="D114" s="49"/>
      <c r="X114" s="13">
        <v>1</v>
      </c>
      <c r="AY114">
        <f t="shared" si="80"/>
        <v>0</v>
      </c>
      <c r="AZ114" s="5">
        <f t="shared" si="81"/>
        <v>804.6</v>
      </c>
      <c r="BA114" s="5">
        <f t="shared" si="82"/>
        <v>358603.25202561129</v>
      </c>
      <c r="BB114" s="29" t="e">
        <f t="shared" si="83"/>
        <v>#NUM!</v>
      </c>
      <c r="BC114" s="29" t="e">
        <f t="shared" si="84"/>
        <v>#NUM!</v>
      </c>
      <c r="BD114" s="29" t="e">
        <f t="shared" si="85"/>
        <v>#NUM!</v>
      </c>
      <c r="BE114" s="29">
        <f t="shared" si="86"/>
        <v>0</v>
      </c>
      <c r="BF114" s="5" t="e">
        <f t="shared" si="87"/>
        <v>#NUM!</v>
      </c>
      <c r="BG114" s="29" t="e">
        <f t="shared" si="88"/>
        <v>#NUM!</v>
      </c>
      <c r="BH114" s="29" t="e">
        <f t="shared" si="89"/>
        <v>#NUM!</v>
      </c>
      <c r="BI114" s="29">
        <f t="shared" si="90"/>
        <v>0</v>
      </c>
      <c r="BJ114" s="30" t="e">
        <f t="shared" si="91"/>
        <v>#NUM!</v>
      </c>
      <c r="BK114" s="29" t="e">
        <f t="shared" si="92"/>
        <v>#NUM!</v>
      </c>
      <c r="BL114" s="29" t="e">
        <f t="shared" si="93"/>
        <v>#NUM!</v>
      </c>
      <c r="BM114" s="29">
        <f t="shared" si="94"/>
        <v>0</v>
      </c>
      <c r="BN114" s="5" t="e">
        <f t="shared" si="95"/>
        <v>#NUM!</v>
      </c>
      <c r="BO114" s="4">
        <f t="shared" si="96"/>
        <v>8.2194749199999997</v>
      </c>
      <c r="BP114" s="4">
        <f t="shared" si="97"/>
        <v>-15.77711152</v>
      </c>
      <c r="BQ114">
        <f t="shared" si="98"/>
        <v>8.2194749199999997</v>
      </c>
      <c r="BR114">
        <f t="shared" si="99"/>
        <v>-15.77711152</v>
      </c>
      <c r="BS114">
        <f t="shared" si="78"/>
        <v>1.6706615595841093E-16</v>
      </c>
      <c r="BT114" s="4">
        <f t="shared" si="100"/>
        <v>0.29418182304666912</v>
      </c>
      <c r="BU114" s="1">
        <f t="shared" si="79"/>
        <v>1.643644148734682E-11</v>
      </c>
    </row>
    <row r="115" spans="1:73" x14ac:dyDescent="0.2">
      <c r="A115" s="31">
        <v>54</v>
      </c>
      <c r="B115" s="4">
        <f>INDEX('vapour permeability'!$A$1:$AZ$450,A115,$C$12*2-1)</f>
        <v>8.2194749199999997</v>
      </c>
      <c r="C115" s="4">
        <f>INDEX('vapour permeability'!$A$1:$AZ$450,A115,$C$12*2)</f>
        <v>-15.77711152</v>
      </c>
      <c r="D115" s="49"/>
      <c r="X115" s="13">
        <v>1</v>
      </c>
      <c r="AY115">
        <f t="shared" si="80"/>
        <v>0</v>
      </c>
      <c r="AZ115" s="5">
        <f t="shared" si="81"/>
        <v>804.6</v>
      </c>
      <c r="BA115" s="5">
        <f t="shared" si="82"/>
        <v>358603.25202561129</v>
      </c>
      <c r="BB115" s="29" t="e">
        <f t="shared" si="83"/>
        <v>#NUM!</v>
      </c>
      <c r="BC115" s="29" t="e">
        <f t="shared" si="84"/>
        <v>#NUM!</v>
      </c>
      <c r="BD115" s="29" t="e">
        <f t="shared" si="85"/>
        <v>#NUM!</v>
      </c>
      <c r="BE115" s="29">
        <f t="shared" si="86"/>
        <v>0</v>
      </c>
      <c r="BF115" s="5" t="e">
        <f t="shared" si="87"/>
        <v>#NUM!</v>
      </c>
      <c r="BG115" s="29" t="e">
        <f t="shared" si="88"/>
        <v>#NUM!</v>
      </c>
      <c r="BH115" s="29" t="e">
        <f t="shared" si="89"/>
        <v>#NUM!</v>
      </c>
      <c r="BI115" s="29">
        <f t="shared" si="90"/>
        <v>0</v>
      </c>
      <c r="BJ115" s="30" t="e">
        <f t="shared" si="91"/>
        <v>#NUM!</v>
      </c>
      <c r="BK115" s="29" t="e">
        <f t="shared" si="92"/>
        <v>#NUM!</v>
      </c>
      <c r="BL115" s="29" t="e">
        <f t="shared" si="93"/>
        <v>#NUM!</v>
      </c>
      <c r="BM115" s="29">
        <f t="shared" si="94"/>
        <v>0</v>
      </c>
      <c r="BN115" s="5" t="e">
        <f t="shared" si="95"/>
        <v>#NUM!</v>
      </c>
      <c r="BO115" s="4">
        <f t="shared" si="96"/>
        <v>8.2194749199999997</v>
      </c>
      <c r="BP115" s="4">
        <f t="shared" si="97"/>
        <v>-15.77711152</v>
      </c>
      <c r="BQ115">
        <f t="shared" si="98"/>
        <v>8.2194749199999997</v>
      </c>
      <c r="BR115">
        <f t="shared" si="99"/>
        <v>-15.77711152</v>
      </c>
      <c r="BS115">
        <f t="shared" si="78"/>
        <v>1.6706615595841093E-16</v>
      </c>
      <c r="BT115" s="4">
        <f t="shared" si="100"/>
        <v>0.29418182304666912</v>
      </c>
      <c r="BU115" s="1">
        <f t="shared" si="79"/>
        <v>1.643644148734682E-11</v>
      </c>
    </row>
    <row r="116" spans="1:73" x14ac:dyDescent="0.2">
      <c r="A116" s="31">
        <v>55</v>
      </c>
      <c r="B116" s="4">
        <f>INDEX('vapour permeability'!$A$1:$AZ$450,A116,$C$12*2-1)</f>
        <v>8.2194749199999997</v>
      </c>
      <c r="C116" s="4">
        <f>INDEX('vapour permeability'!$A$1:$AZ$450,A116,$C$12*2)</f>
        <v>-15.77711152</v>
      </c>
      <c r="D116" s="49"/>
      <c r="X116" s="13">
        <v>1</v>
      </c>
      <c r="AY116">
        <f t="shared" si="80"/>
        <v>0</v>
      </c>
      <c r="AZ116" s="5">
        <f t="shared" si="81"/>
        <v>804.6</v>
      </c>
      <c r="BA116" s="5">
        <f t="shared" si="82"/>
        <v>358603.25202561129</v>
      </c>
      <c r="BB116" s="29" t="e">
        <f t="shared" si="83"/>
        <v>#NUM!</v>
      </c>
      <c r="BC116" s="29" t="e">
        <f t="shared" si="84"/>
        <v>#NUM!</v>
      </c>
      <c r="BD116" s="29" t="e">
        <f t="shared" si="85"/>
        <v>#NUM!</v>
      </c>
      <c r="BE116" s="29">
        <f t="shared" si="86"/>
        <v>0</v>
      </c>
      <c r="BF116" s="5" t="e">
        <f t="shared" si="87"/>
        <v>#NUM!</v>
      </c>
      <c r="BG116" s="29" t="e">
        <f t="shared" si="88"/>
        <v>#NUM!</v>
      </c>
      <c r="BH116" s="29" t="e">
        <f t="shared" si="89"/>
        <v>#NUM!</v>
      </c>
      <c r="BI116" s="29">
        <f t="shared" si="90"/>
        <v>0</v>
      </c>
      <c r="BJ116" s="30" t="e">
        <f t="shared" si="91"/>
        <v>#NUM!</v>
      </c>
      <c r="BK116" s="29" t="e">
        <f t="shared" si="92"/>
        <v>#NUM!</v>
      </c>
      <c r="BL116" s="29" t="e">
        <f t="shared" si="93"/>
        <v>#NUM!</v>
      </c>
      <c r="BM116" s="29">
        <f t="shared" si="94"/>
        <v>0</v>
      </c>
      <c r="BN116" s="5" t="e">
        <f t="shared" si="95"/>
        <v>#NUM!</v>
      </c>
      <c r="BO116" s="4">
        <f t="shared" si="96"/>
        <v>8.2194749199999997</v>
      </c>
      <c r="BP116" s="4">
        <f t="shared" si="97"/>
        <v>-15.77711152</v>
      </c>
      <c r="BQ116">
        <f t="shared" si="98"/>
        <v>8.2194749199999997</v>
      </c>
      <c r="BR116">
        <f t="shared" si="99"/>
        <v>-15.77711152</v>
      </c>
      <c r="BS116">
        <f t="shared" si="78"/>
        <v>1.6706615595841093E-16</v>
      </c>
      <c r="BT116" s="4">
        <f t="shared" si="100"/>
        <v>0.29418182304666912</v>
      </c>
      <c r="BU116" s="1">
        <f t="shared" si="79"/>
        <v>1.643644148734682E-11</v>
      </c>
    </row>
    <row r="117" spans="1:73" x14ac:dyDescent="0.2">
      <c r="A117" s="31">
        <v>56</v>
      </c>
      <c r="B117" s="4">
        <f>INDEX('vapour permeability'!$A$1:$AZ$450,A117,$C$12*2-1)</f>
        <v>8.2194749199999997</v>
      </c>
      <c r="C117" s="4">
        <f>INDEX('vapour permeability'!$A$1:$AZ$450,A117,$C$12*2)</f>
        <v>-15.77711152</v>
      </c>
      <c r="D117" s="49"/>
      <c r="X117" s="13">
        <v>1</v>
      </c>
      <c r="AY117">
        <f t="shared" si="80"/>
        <v>0</v>
      </c>
      <c r="AZ117" s="5">
        <f t="shared" si="81"/>
        <v>804.6</v>
      </c>
      <c r="BA117" s="5">
        <f t="shared" si="82"/>
        <v>358603.25202561129</v>
      </c>
      <c r="BB117" s="29" t="e">
        <f t="shared" si="83"/>
        <v>#NUM!</v>
      </c>
      <c r="BC117" s="29" t="e">
        <f t="shared" si="84"/>
        <v>#NUM!</v>
      </c>
      <c r="BD117" s="29" t="e">
        <f t="shared" si="85"/>
        <v>#NUM!</v>
      </c>
      <c r="BE117" s="29">
        <f t="shared" si="86"/>
        <v>0</v>
      </c>
      <c r="BF117" s="5" t="e">
        <f t="shared" si="87"/>
        <v>#NUM!</v>
      </c>
      <c r="BG117" s="29" t="e">
        <f t="shared" si="88"/>
        <v>#NUM!</v>
      </c>
      <c r="BH117" s="29" t="e">
        <f t="shared" si="89"/>
        <v>#NUM!</v>
      </c>
      <c r="BI117" s="29">
        <f t="shared" si="90"/>
        <v>0</v>
      </c>
      <c r="BJ117" s="30" t="e">
        <f t="shared" si="91"/>
        <v>#NUM!</v>
      </c>
      <c r="BK117" s="29" t="e">
        <f t="shared" si="92"/>
        <v>#NUM!</v>
      </c>
      <c r="BL117" s="29" t="e">
        <f t="shared" si="93"/>
        <v>#NUM!</v>
      </c>
      <c r="BM117" s="29">
        <f t="shared" si="94"/>
        <v>0</v>
      </c>
      <c r="BN117" s="5" t="e">
        <f t="shared" si="95"/>
        <v>#NUM!</v>
      </c>
      <c r="BO117" s="4">
        <f t="shared" si="96"/>
        <v>8.2194749199999997</v>
      </c>
      <c r="BP117" s="4">
        <f t="shared" si="97"/>
        <v>-15.77711152</v>
      </c>
      <c r="BQ117">
        <f t="shared" si="98"/>
        <v>8.2194749199999997</v>
      </c>
      <c r="BR117">
        <f t="shared" si="99"/>
        <v>-15.77711152</v>
      </c>
      <c r="BS117">
        <f t="shared" si="78"/>
        <v>1.6706615595841093E-16</v>
      </c>
      <c r="BT117" s="4">
        <f t="shared" si="100"/>
        <v>0.29418182304666912</v>
      </c>
      <c r="BU117" s="1">
        <f t="shared" si="79"/>
        <v>1.643644148734682E-11</v>
      </c>
    </row>
    <row r="118" spans="1:73" x14ac:dyDescent="0.2">
      <c r="A118" s="31">
        <v>57</v>
      </c>
      <c r="B118" s="4">
        <f>INDEX('vapour permeability'!$A$1:$AZ$450,A118,$C$12*2-1)</f>
        <v>8.2194749199999997</v>
      </c>
      <c r="C118" s="4">
        <f>INDEX('vapour permeability'!$A$1:$AZ$450,A118,$C$12*2)</f>
        <v>-15.77711152</v>
      </c>
      <c r="D118" s="49"/>
      <c r="X118" s="13">
        <v>1</v>
      </c>
      <c r="AY118">
        <f t="shared" si="80"/>
        <v>0</v>
      </c>
      <c r="AZ118" s="5">
        <f t="shared" si="81"/>
        <v>804.6</v>
      </c>
      <c r="BA118" s="5">
        <f t="shared" si="82"/>
        <v>358603.25202561129</v>
      </c>
      <c r="BB118" s="29" t="e">
        <f t="shared" si="83"/>
        <v>#NUM!</v>
      </c>
      <c r="BC118" s="29" t="e">
        <f t="shared" si="84"/>
        <v>#NUM!</v>
      </c>
      <c r="BD118" s="29" t="e">
        <f t="shared" si="85"/>
        <v>#NUM!</v>
      </c>
      <c r="BE118" s="29">
        <f t="shared" si="86"/>
        <v>0</v>
      </c>
      <c r="BF118" s="5" t="e">
        <f t="shared" si="87"/>
        <v>#NUM!</v>
      </c>
      <c r="BG118" s="29" t="e">
        <f t="shared" si="88"/>
        <v>#NUM!</v>
      </c>
      <c r="BH118" s="29" t="e">
        <f t="shared" si="89"/>
        <v>#NUM!</v>
      </c>
      <c r="BI118" s="29">
        <f t="shared" si="90"/>
        <v>0</v>
      </c>
      <c r="BJ118" s="30" t="e">
        <f t="shared" si="91"/>
        <v>#NUM!</v>
      </c>
      <c r="BK118" s="29" t="e">
        <f t="shared" si="92"/>
        <v>#NUM!</v>
      </c>
      <c r="BL118" s="29" t="e">
        <f t="shared" si="93"/>
        <v>#NUM!</v>
      </c>
      <c r="BM118" s="29">
        <f t="shared" si="94"/>
        <v>0</v>
      </c>
      <c r="BN118" s="5" t="e">
        <f t="shared" si="95"/>
        <v>#NUM!</v>
      </c>
      <c r="BO118" s="4">
        <f t="shared" si="96"/>
        <v>8.2194749199999997</v>
      </c>
      <c r="BP118" s="4">
        <f t="shared" si="97"/>
        <v>-15.77711152</v>
      </c>
      <c r="BQ118">
        <f t="shared" si="98"/>
        <v>8.2194749199999997</v>
      </c>
      <c r="BR118">
        <f t="shared" si="99"/>
        <v>-15.77711152</v>
      </c>
      <c r="BS118">
        <f t="shared" si="78"/>
        <v>1.6706615595841093E-16</v>
      </c>
      <c r="BT118" s="4">
        <f t="shared" si="100"/>
        <v>0.29418182304666912</v>
      </c>
      <c r="BU118" s="1">
        <f t="shared" si="79"/>
        <v>1.643644148734682E-11</v>
      </c>
    </row>
    <row r="119" spans="1:73" x14ac:dyDescent="0.2">
      <c r="A119" s="31">
        <v>58</v>
      </c>
      <c r="B119" s="4">
        <f>INDEX('vapour permeability'!$A$1:$AZ$450,A119,$C$12*2-1)</f>
        <v>8.2194749199999997</v>
      </c>
      <c r="C119" s="4">
        <f>INDEX('vapour permeability'!$A$1:$AZ$450,A119,$C$12*2)</f>
        <v>-15.77711152</v>
      </c>
      <c r="D119" s="49"/>
      <c r="X119" s="13">
        <v>1</v>
      </c>
      <c r="AY119">
        <f t="shared" si="80"/>
        <v>0</v>
      </c>
      <c r="AZ119" s="5">
        <f t="shared" si="81"/>
        <v>804.6</v>
      </c>
      <c r="BA119" s="5">
        <f t="shared" si="82"/>
        <v>358603.25202561129</v>
      </c>
      <c r="BB119" s="29" t="e">
        <f t="shared" si="83"/>
        <v>#NUM!</v>
      </c>
      <c r="BC119" s="29" t="e">
        <f t="shared" si="84"/>
        <v>#NUM!</v>
      </c>
      <c r="BD119" s="29" t="e">
        <f t="shared" si="85"/>
        <v>#NUM!</v>
      </c>
      <c r="BE119" s="29">
        <f t="shared" si="86"/>
        <v>0</v>
      </c>
      <c r="BF119" s="5" t="e">
        <f t="shared" si="87"/>
        <v>#NUM!</v>
      </c>
      <c r="BG119" s="29" t="e">
        <f t="shared" si="88"/>
        <v>#NUM!</v>
      </c>
      <c r="BH119" s="29" t="e">
        <f t="shared" si="89"/>
        <v>#NUM!</v>
      </c>
      <c r="BI119" s="29">
        <f t="shared" si="90"/>
        <v>0</v>
      </c>
      <c r="BJ119" s="30" t="e">
        <f t="shared" si="91"/>
        <v>#NUM!</v>
      </c>
      <c r="BK119" s="29" t="e">
        <f t="shared" si="92"/>
        <v>#NUM!</v>
      </c>
      <c r="BL119" s="29" t="e">
        <f t="shared" si="93"/>
        <v>#NUM!</v>
      </c>
      <c r="BM119" s="29">
        <f t="shared" si="94"/>
        <v>0</v>
      </c>
      <c r="BN119" s="5" t="e">
        <f t="shared" si="95"/>
        <v>#NUM!</v>
      </c>
      <c r="BO119" s="4">
        <f t="shared" si="96"/>
        <v>8.2194749199999997</v>
      </c>
      <c r="BP119" s="4">
        <f t="shared" si="97"/>
        <v>-15.77711152</v>
      </c>
      <c r="BQ119">
        <f t="shared" si="98"/>
        <v>8.2194749199999997</v>
      </c>
      <c r="BR119">
        <f t="shared" si="99"/>
        <v>-15.77711152</v>
      </c>
      <c r="BS119">
        <f t="shared" si="78"/>
        <v>1.6706615595841093E-16</v>
      </c>
      <c r="BT119" s="4">
        <f t="shared" si="100"/>
        <v>0.29418182304666912</v>
      </c>
      <c r="BU119" s="1">
        <f t="shared" si="79"/>
        <v>1.643644148734682E-11</v>
      </c>
    </row>
    <row r="120" spans="1:73" x14ac:dyDescent="0.2">
      <c r="A120" s="31">
        <v>59</v>
      </c>
      <c r="B120" s="4">
        <f>INDEX('vapour permeability'!$A$1:$AZ$450,A120,$C$12*2-1)</f>
        <v>8.2194749199999997</v>
      </c>
      <c r="C120" s="4">
        <f>INDEX('vapour permeability'!$A$1:$AZ$450,A120,$C$12*2)</f>
        <v>-15.77711152</v>
      </c>
      <c r="D120" s="49"/>
      <c r="X120" s="13">
        <v>1</v>
      </c>
      <c r="AY120">
        <f t="shared" si="80"/>
        <v>0</v>
      </c>
      <c r="AZ120" s="5">
        <f t="shared" si="81"/>
        <v>804.6</v>
      </c>
      <c r="BA120" s="5">
        <f t="shared" si="82"/>
        <v>358603.25202561129</v>
      </c>
      <c r="BB120" s="29" t="e">
        <f t="shared" si="83"/>
        <v>#NUM!</v>
      </c>
      <c r="BC120" s="29" t="e">
        <f t="shared" si="84"/>
        <v>#NUM!</v>
      </c>
      <c r="BD120" s="29" t="e">
        <f t="shared" si="85"/>
        <v>#NUM!</v>
      </c>
      <c r="BE120" s="29">
        <f t="shared" si="86"/>
        <v>0</v>
      </c>
      <c r="BF120" s="5" t="e">
        <f t="shared" si="87"/>
        <v>#NUM!</v>
      </c>
      <c r="BG120" s="29" t="e">
        <f t="shared" si="88"/>
        <v>#NUM!</v>
      </c>
      <c r="BH120" s="29" t="e">
        <f t="shared" si="89"/>
        <v>#NUM!</v>
      </c>
      <c r="BI120" s="29">
        <f t="shared" si="90"/>
        <v>0</v>
      </c>
      <c r="BJ120" s="30" t="e">
        <f t="shared" si="91"/>
        <v>#NUM!</v>
      </c>
      <c r="BK120" s="29" t="e">
        <f t="shared" si="92"/>
        <v>#NUM!</v>
      </c>
      <c r="BL120" s="29" t="e">
        <f t="shared" si="93"/>
        <v>#NUM!</v>
      </c>
      <c r="BM120" s="29">
        <f t="shared" si="94"/>
        <v>0</v>
      </c>
      <c r="BN120" s="5" t="e">
        <f t="shared" si="95"/>
        <v>#NUM!</v>
      </c>
      <c r="BO120" s="4">
        <f t="shared" si="96"/>
        <v>8.2194749199999997</v>
      </c>
      <c r="BP120" s="4">
        <f t="shared" si="97"/>
        <v>-15.77711152</v>
      </c>
      <c r="BQ120">
        <f t="shared" si="98"/>
        <v>8.2194749199999997</v>
      </c>
      <c r="BR120">
        <f t="shared" si="99"/>
        <v>-15.77711152</v>
      </c>
      <c r="BS120">
        <f t="shared" si="78"/>
        <v>1.6706615595841093E-16</v>
      </c>
      <c r="BT120" s="4">
        <f t="shared" si="100"/>
        <v>0.29418182304666912</v>
      </c>
      <c r="BU120" s="1">
        <f t="shared" si="79"/>
        <v>1.643644148734682E-11</v>
      </c>
    </row>
    <row r="121" spans="1:73" x14ac:dyDescent="0.2">
      <c r="A121" s="31">
        <v>60</v>
      </c>
      <c r="B121" s="4">
        <f>INDEX('vapour permeability'!$A$1:$AZ$450,A121,$C$12*2-1)</f>
        <v>8.2194749199999997</v>
      </c>
      <c r="C121" s="4">
        <f>INDEX('vapour permeability'!$A$1:$AZ$450,A121,$C$12*2)</f>
        <v>-15.77711152</v>
      </c>
      <c r="D121" s="49"/>
      <c r="X121" s="13">
        <v>1</v>
      </c>
      <c r="AY121">
        <f t="shared" si="80"/>
        <v>0</v>
      </c>
      <c r="AZ121" s="5">
        <f t="shared" si="81"/>
        <v>804.6</v>
      </c>
      <c r="BA121" s="5">
        <f t="shared" si="82"/>
        <v>358603.25202561129</v>
      </c>
      <c r="BB121" s="29" t="e">
        <f t="shared" si="83"/>
        <v>#NUM!</v>
      </c>
      <c r="BC121" s="29" t="e">
        <f t="shared" si="84"/>
        <v>#NUM!</v>
      </c>
      <c r="BD121" s="29" t="e">
        <f t="shared" si="85"/>
        <v>#NUM!</v>
      </c>
      <c r="BE121" s="29">
        <f t="shared" si="86"/>
        <v>0</v>
      </c>
      <c r="BF121" s="5" t="e">
        <f t="shared" si="87"/>
        <v>#NUM!</v>
      </c>
      <c r="BG121" s="29" t="e">
        <f t="shared" si="88"/>
        <v>#NUM!</v>
      </c>
      <c r="BH121" s="29" t="e">
        <f t="shared" si="89"/>
        <v>#NUM!</v>
      </c>
      <c r="BI121" s="29">
        <f t="shared" si="90"/>
        <v>0</v>
      </c>
      <c r="BJ121" s="30" t="e">
        <f t="shared" si="91"/>
        <v>#NUM!</v>
      </c>
      <c r="BK121" s="29" t="e">
        <f t="shared" si="92"/>
        <v>#NUM!</v>
      </c>
      <c r="BL121" s="29" t="e">
        <f t="shared" si="93"/>
        <v>#NUM!</v>
      </c>
      <c r="BM121" s="29">
        <f t="shared" si="94"/>
        <v>0</v>
      </c>
      <c r="BN121" s="5" t="e">
        <f t="shared" si="95"/>
        <v>#NUM!</v>
      </c>
      <c r="BO121" s="4">
        <f t="shared" si="96"/>
        <v>8.2194749199999997</v>
      </c>
      <c r="BP121" s="4">
        <f t="shared" si="97"/>
        <v>-15.77711152</v>
      </c>
      <c r="BQ121">
        <f t="shared" si="98"/>
        <v>8.2194749199999997</v>
      </c>
      <c r="BR121">
        <f t="shared" si="99"/>
        <v>-15.77711152</v>
      </c>
      <c r="BS121">
        <f t="shared" si="78"/>
        <v>1.6706615595841093E-16</v>
      </c>
      <c r="BT121" s="4">
        <f t="shared" si="100"/>
        <v>0.29418182304666912</v>
      </c>
      <c r="BU121" s="1">
        <f t="shared" si="79"/>
        <v>1.643644148734682E-11</v>
      </c>
    </row>
    <row r="122" spans="1:73" x14ac:dyDescent="0.2">
      <c r="A122" s="31">
        <v>61</v>
      </c>
      <c r="B122" s="4">
        <f>INDEX('vapour permeability'!$A$1:$AZ$450,A122,$C$12*2-1)</f>
        <v>8.2194749199999997</v>
      </c>
      <c r="C122" s="4">
        <f>INDEX('vapour permeability'!$A$1:$AZ$450,A122,$C$12*2)</f>
        <v>-15.77711152</v>
      </c>
      <c r="D122" s="49"/>
      <c r="X122" s="13">
        <v>1</v>
      </c>
      <c r="AY122">
        <f t="shared" si="80"/>
        <v>0</v>
      </c>
      <c r="AZ122" s="5">
        <f t="shared" si="81"/>
        <v>804.6</v>
      </c>
      <c r="BA122" s="5">
        <f t="shared" si="82"/>
        <v>358603.25202561129</v>
      </c>
      <c r="BB122" s="29" t="e">
        <f t="shared" si="83"/>
        <v>#NUM!</v>
      </c>
      <c r="BC122" s="29" t="e">
        <f t="shared" si="84"/>
        <v>#NUM!</v>
      </c>
      <c r="BD122" s="29" t="e">
        <f t="shared" si="85"/>
        <v>#NUM!</v>
      </c>
      <c r="BE122" s="29">
        <f t="shared" si="86"/>
        <v>0</v>
      </c>
      <c r="BF122" s="5" t="e">
        <f t="shared" si="87"/>
        <v>#NUM!</v>
      </c>
      <c r="BG122" s="29" t="e">
        <f t="shared" si="88"/>
        <v>#NUM!</v>
      </c>
      <c r="BH122" s="29" t="e">
        <f t="shared" si="89"/>
        <v>#NUM!</v>
      </c>
      <c r="BI122" s="29">
        <f t="shared" si="90"/>
        <v>0</v>
      </c>
      <c r="BJ122" s="30" t="e">
        <f t="shared" si="91"/>
        <v>#NUM!</v>
      </c>
      <c r="BK122" s="29" t="e">
        <f t="shared" si="92"/>
        <v>#NUM!</v>
      </c>
      <c r="BL122" s="29" t="e">
        <f t="shared" si="93"/>
        <v>#NUM!</v>
      </c>
      <c r="BM122" s="29">
        <f t="shared" si="94"/>
        <v>0</v>
      </c>
      <c r="BN122" s="5" t="e">
        <f t="shared" si="95"/>
        <v>#NUM!</v>
      </c>
      <c r="BO122" s="4">
        <f t="shared" si="96"/>
        <v>8.2194749199999997</v>
      </c>
      <c r="BP122" s="4">
        <f t="shared" si="97"/>
        <v>-15.77711152</v>
      </c>
      <c r="BQ122">
        <f t="shared" si="98"/>
        <v>8.2194749199999997</v>
      </c>
      <c r="BR122">
        <f t="shared" si="99"/>
        <v>-15.77711152</v>
      </c>
      <c r="BS122">
        <f t="shared" si="78"/>
        <v>1.6706615595841093E-16</v>
      </c>
      <c r="BT122" s="4">
        <f t="shared" si="100"/>
        <v>0.29418182304666912</v>
      </c>
      <c r="BU122" s="1">
        <f t="shared" si="79"/>
        <v>1.643644148734682E-11</v>
      </c>
    </row>
    <row r="123" spans="1:73" x14ac:dyDescent="0.2">
      <c r="A123" s="31">
        <v>62</v>
      </c>
      <c r="B123" s="4">
        <f>INDEX('vapour permeability'!$A$1:$AZ$450,A123,$C$12*2-1)</f>
        <v>8.2194749199999997</v>
      </c>
      <c r="C123" s="4">
        <f>INDEX('vapour permeability'!$A$1:$AZ$450,A123,$C$12*2)</f>
        <v>-15.77711152</v>
      </c>
      <c r="D123" s="49"/>
      <c r="X123" s="13">
        <v>1</v>
      </c>
      <c r="AY123">
        <f t="shared" si="80"/>
        <v>0</v>
      </c>
      <c r="AZ123" s="5">
        <f t="shared" si="81"/>
        <v>804.6</v>
      </c>
      <c r="BA123" s="5">
        <f t="shared" si="82"/>
        <v>358603.25202561129</v>
      </c>
      <c r="BB123" s="29" t="e">
        <f t="shared" si="83"/>
        <v>#NUM!</v>
      </c>
      <c r="BC123" s="29" t="e">
        <f t="shared" si="84"/>
        <v>#NUM!</v>
      </c>
      <c r="BD123" s="29" t="e">
        <f t="shared" si="85"/>
        <v>#NUM!</v>
      </c>
      <c r="BE123" s="29">
        <f t="shared" si="86"/>
        <v>0</v>
      </c>
      <c r="BF123" s="5" t="e">
        <f t="shared" si="87"/>
        <v>#NUM!</v>
      </c>
      <c r="BG123" s="29" t="e">
        <f t="shared" si="88"/>
        <v>#NUM!</v>
      </c>
      <c r="BH123" s="29" t="e">
        <f t="shared" si="89"/>
        <v>#NUM!</v>
      </c>
      <c r="BI123" s="29">
        <f t="shared" si="90"/>
        <v>0</v>
      </c>
      <c r="BJ123" s="30" t="e">
        <f t="shared" si="91"/>
        <v>#NUM!</v>
      </c>
      <c r="BK123" s="29" t="e">
        <f t="shared" si="92"/>
        <v>#NUM!</v>
      </c>
      <c r="BL123" s="29" t="e">
        <f t="shared" si="93"/>
        <v>#NUM!</v>
      </c>
      <c r="BM123" s="29">
        <f t="shared" si="94"/>
        <v>0</v>
      </c>
      <c r="BN123" s="5" t="e">
        <f t="shared" si="95"/>
        <v>#NUM!</v>
      </c>
      <c r="BO123" s="4">
        <f t="shared" si="96"/>
        <v>8.2194749199999997</v>
      </c>
      <c r="BP123" s="4">
        <f t="shared" si="97"/>
        <v>-15.77711152</v>
      </c>
      <c r="BQ123">
        <f t="shared" si="98"/>
        <v>8.2194749199999997</v>
      </c>
      <c r="BR123">
        <f t="shared" si="99"/>
        <v>-15.77711152</v>
      </c>
      <c r="BS123">
        <f t="shared" si="78"/>
        <v>1.6706615595841093E-16</v>
      </c>
      <c r="BT123" s="4">
        <f t="shared" si="100"/>
        <v>0.29418182304666912</v>
      </c>
      <c r="BU123" s="1">
        <f t="shared" si="79"/>
        <v>1.643644148734682E-11</v>
      </c>
    </row>
    <row r="124" spans="1:73" x14ac:dyDescent="0.2">
      <c r="A124" s="31">
        <v>63</v>
      </c>
      <c r="B124" s="4">
        <f>INDEX('vapour permeability'!$A$1:$AZ$450,A124,$C$12*2-1)</f>
        <v>8.2194749199999997</v>
      </c>
      <c r="C124" s="4">
        <f>INDEX('vapour permeability'!$A$1:$AZ$450,A124,$C$12*2)</f>
        <v>-15.77711152</v>
      </c>
      <c r="D124" s="49"/>
      <c r="X124" s="13">
        <v>1</v>
      </c>
      <c r="AY124">
        <f t="shared" si="80"/>
        <v>0</v>
      </c>
      <c r="AZ124" s="5">
        <f t="shared" si="81"/>
        <v>804.6</v>
      </c>
      <c r="BA124" s="5">
        <f t="shared" si="82"/>
        <v>358603.25202561129</v>
      </c>
      <c r="BB124" s="29" t="e">
        <f t="shared" si="83"/>
        <v>#NUM!</v>
      </c>
      <c r="BC124" s="29" t="e">
        <f t="shared" si="84"/>
        <v>#NUM!</v>
      </c>
      <c r="BD124" s="29" t="e">
        <f t="shared" si="85"/>
        <v>#NUM!</v>
      </c>
      <c r="BE124" s="29">
        <f t="shared" si="86"/>
        <v>0</v>
      </c>
      <c r="BF124" s="5" t="e">
        <f t="shared" si="87"/>
        <v>#NUM!</v>
      </c>
      <c r="BG124" s="29" t="e">
        <f t="shared" si="88"/>
        <v>#NUM!</v>
      </c>
      <c r="BH124" s="29" t="e">
        <f t="shared" si="89"/>
        <v>#NUM!</v>
      </c>
      <c r="BI124" s="29">
        <f t="shared" si="90"/>
        <v>0</v>
      </c>
      <c r="BJ124" s="30" t="e">
        <f t="shared" si="91"/>
        <v>#NUM!</v>
      </c>
      <c r="BK124" s="29" t="e">
        <f t="shared" si="92"/>
        <v>#NUM!</v>
      </c>
      <c r="BL124" s="29" t="e">
        <f t="shared" si="93"/>
        <v>#NUM!</v>
      </c>
      <c r="BM124" s="29">
        <f t="shared" si="94"/>
        <v>0</v>
      </c>
      <c r="BN124" s="5" t="e">
        <f t="shared" si="95"/>
        <v>#NUM!</v>
      </c>
      <c r="BO124" s="4">
        <f t="shared" si="96"/>
        <v>8.2194749199999997</v>
      </c>
      <c r="BP124" s="4">
        <f t="shared" si="97"/>
        <v>-15.77711152</v>
      </c>
      <c r="BQ124">
        <f t="shared" si="98"/>
        <v>8.2194749199999997</v>
      </c>
      <c r="BR124">
        <f t="shared" si="99"/>
        <v>-15.77711152</v>
      </c>
      <c r="BS124">
        <f t="shared" si="78"/>
        <v>1.6706615595841093E-16</v>
      </c>
      <c r="BT124" s="4">
        <f t="shared" si="100"/>
        <v>0.29418182304666912</v>
      </c>
      <c r="BU124" s="1">
        <f t="shared" si="79"/>
        <v>1.643644148734682E-11</v>
      </c>
    </row>
    <row r="125" spans="1:73" x14ac:dyDescent="0.2">
      <c r="A125" s="31">
        <v>64</v>
      </c>
      <c r="B125" s="4">
        <f>INDEX('vapour permeability'!$A$1:$AZ$450,A125,$C$12*2-1)</f>
        <v>8.2194749199999997</v>
      </c>
      <c r="C125" s="4">
        <f>INDEX('vapour permeability'!$A$1:$AZ$450,A125,$C$12*2)</f>
        <v>-15.77711152</v>
      </c>
      <c r="D125" s="49"/>
      <c r="X125" s="13">
        <v>1</v>
      </c>
      <c r="AY125">
        <f t="shared" si="80"/>
        <v>0</v>
      </c>
      <c r="AZ125" s="5">
        <f t="shared" si="81"/>
        <v>804.6</v>
      </c>
      <c r="BA125" s="5">
        <f t="shared" si="82"/>
        <v>358603.25202561129</v>
      </c>
      <c r="BB125" s="29" t="e">
        <f t="shared" si="83"/>
        <v>#NUM!</v>
      </c>
      <c r="BC125" s="29" t="e">
        <f t="shared" si="84"/>
        <v>#NUM!</v>
      </c>
      <c r="BD125" s="29" t="e">
        <f t="shared" si="85"/>
        <v>#NUM!</v>
      </c>
      <c r="BE125" s="29">
        <f t="shared" si="86"/>
        <v>0</v>
      </c>
      <c r="BF125" s="5" t="e">
        <f t="shared" si="87"/>
        <v>#NUM!</v>
      </c>
      <c r="BG125" s="29" t="e">
        <f t="shared" si="88"/>
        <v>#NUM!</v>
      </c>
      <c r="BH125" s="29" t="e">
        <f t="shared" si="89"/>
        <v>#NUM!</v>
      </c>
      <c r="BI125" s="29">
        <f t="shared" si="90"/>
        <v>0</v>
      </c>
      <c r="BJ125" s="30" t="e">
        <f t="shared" si="91"/>
        <v>#NUM!</v>
      </c>
      <c r="BK125" s="29" t="e">
        <f t="shared" si="92"/>
        <v>#NUM!</v>
      </c>
      <c r="BL125" s="29" t="e">
        <f t="shared" si="93"/>
        <v>#NUM!</v>
      </c>
      <c r="BM125" s="29">
        <f t="shared" si="94"/>
        <v>0</v>
      </c>
      <c r="BN125" s="5" t="e">
        <f t="shared" si="95"/>
        <v>#NUM!</v>
      </c>
      <c r="BO125" s="4">
        <f t="shared" si="96"/>
        <v>8.2194749199999997</v>
      </c>
      <c r="BP125" s="4">
        <f t="shared" si="97"/>
        <v>-15.77711152</v>
      </c>
      <c r="BQ125">
        <f t="shared" si="98"/>
        <v>8.2194749199999997</v>
      </c>
      <c r="BR125">
        <f t="shared" si="99"/>
        <v>-15.77711152</v>
      </c>
      <c r="BS125">
        <f t="shared" si="78"/>
        <v>1.6706615595841093E-16</v>
      </c>
      <c r="BT125" s="4">
        <f t="shared" si="100"/>
        <v>0.29418182304666912</v>
      </c>
      <c r="BU125" s="1">
        <f t="shared" si="79"/>
        <v>1.643644148734682E-11</v>
      </c>
    </row>
    <row r="126" spans="1:73" x14ac:dyDescent="0.2">
      <c r="A126" s="31">
        <v>65</v>
      </c>
      <c r="B126" s="4">
        <f>INDEX('vapour permeability'!$A$1:$AZ$450,A126,$C$12*2-1)</f>
        <v>8.2194749199999997</v>
      </c>
      <c r="C126" s="4">
        <f>INDEX('vapour permeability'!$A$1:$AZ$450,A126,$C$12*2)</f>
        <v>-15.77711152</v>
      </c>
      <c r="D126" s="49"/>
      <c r="X126" s="13">
        <v>1</v>
      </c>
      <c r="AY126">
        <f t="shared" si="80"/>
        <v>0</v>
      </c>
      <c r="AZ126" s="5">
        <f t="shared" si="81"/>
        <v>804.6</v>
      </c>
      <c r="BA126" s="5">
        <f t="shared" si="82"/>
        <v>358603.25202561129</v>
      </c>
      <c r="BB126" s="29" t="e">
        <f t="shared" si="83"/>
        <v>#NUM!</v>
      </c>
      <c r="BC126" s="29" t="e">
        <f t="shared" si="84"/>
        <v>#NUM!</v>
      </c>
      <c r="BD126" s="29" t="e">
        <f t="shared" si="85"/>
        <v>#NUM!</v>
      </c>
      <c r="BE126" s="29">
        <f t="shared" si="86"/>
        <v>0</v>
      </c>
      <c r="BF126" s="5" t="e">
        <f t="shared" si="87"/>
        <v>#NUM!</v>
      </c>
      <c r="BG126" s="29" t="e">
        <f t="shared" si="88"/>
        <v>#NUM!</v>
      </c>
      <c r="BH126" s="29" t="e">
        <f t="shared" si="89"/>
        <v>#NUM!</v>
      </c>
      <c r="BI126" s="29">
        <f t="shared" si="90"/>
        <v>0</v>
      </c>
      <c r="BJ126" s="30" t="e">
        <f t="shared" si="91"/>
        <v>#NUM!</v>
      </c>
      <c r="BK126" s="29" t="e">
        <f t="shared" si="92"/>
        <v>#NUM!</v>
      </c>
      <c r="BL126" s="29" t="e">
        <f t="shared" si="93"/>
        <v>#NUM!</v>
      </c>
      <c r="BM126" s="29">
        <f t="shared" si="94"/>
        <v>0</v>
      </c>
      <c r="BN126" s="5" t="e">
        <f t="shared" si="95"/>
        <v>#NUM!</v>
      </c>
      <c r="BO126" s="4">
        <f t="shared" si="96"/>
        <v>8.2194749199999997</v>
      </c>
      <c r="BP126" s="4">
        <f t="shared" si="97"/>
        <v>-15.77711152</v>
      </c>
      <c r="BQ126">
        <f t="shared" si="98"/>
        <v>8.2194749199999997</v>
      </c>
      <c r="BR126">
        <f t="shared" si="99"/>
        <v>-15.77711152</v>
      </c>
      <c r="BS126">
        <f t="shared" si="78"/>
        <v>1.6706615595841093E-16</v>
      </c>
      <c r="BT126" s="4">
        <f t="shared" si="100"/>
        <v>0.29418182304666912</v>
      </c>
      <c r="BU126" s="1">
        <f t="shared" si="79"/>
        <v>1.643644148734682E-11</v>
      </c>
    </row>
    <row r="127" spans="1:73" x14ac:dyDescent="0.2">
      <c r="A127" s="31">
        <v>66</v>
      </c>
      <c r="B127" s="4">
        <f>INDEX('vapour permeability'!$A$1:$AZ$450,A127,$C$12*2-1)</f>
        <v>8.2194749199999997</v>
      </c>
      <c r="C127" s="4">
        <f>INDEX('vapour permeability'!$A$1:$AZ$450,A127,$C$12*2)</f>
        <v>-15.77711152</v>
      </c>
      <c r="D127" s="49"/>
      <c r="X127" s="13">
        <v>1</v>
      </c>
      <c r="AY127">
        <f t="shared" si="80"/>
        <v>0</v>
      </c>
      <c r="AZ127" s="5">
        <f t="shared" si="81"/>
        <v>804.6</v>
      </c>
      <c r="BA127" s="5">
        <f t="shared" si="82"/>
        <v>358603.25202561129</v>
      </c>
      <c r="BB127" s="29" t="e">
        <f t="shared" si="83"/>
        <v>#NUM!</v>
      </c>
      <c r="BC127" s="29" t="e">
        <f t="shared" si="84"/>
        <v>#NUM!</v>
      </c>
      <c r="BD127" s="29" t="e">
        <f t="shared" si="85"/>
        <v>#NUM!</v>
      </c>
      <c r="BE127" s="29">
        <f t="shared" si="86"/>
        <v>0</v>
      </c>
      <c r="BF127" s="5" t="e">
        <f t="shared" si="87"/>
        <v>#NUM!</v>
      </c>
      <c r="BG127" s="29" t="e">
        <f t="shared" si="88"/>
        <v>#NUM!</v>
      </c>
      <c r="BH127" s="29" t="e">
        <f t="shared" si="89"/>
        <v>#NUM!</v>
      </c>
      <c r="BI127" s="29">
        <f t="shared" si="90"/>
        <v>0</v>
      </c>
      <c r="BJ127" s="30" t="e">
        <f t="shared" si="91"/>
        <v>#NUM!</v>
      </c>
      <c r="BK127" s="29" t="e">
        <f t="shared" si="92"/>
        <v>#NUM!</v>
      </c>
      <c r="BL127" s="29" t="e">
        <f t="shared" si="93"/>
        <v>#NUM!</v>
      </c>
      <c r="BM127" s="29">
        <f t="shared" si="94"/>
        <v>0</v>
      </c>
      <c r="BN127" s="5" t="e">
        <f t="shared" si="95"/>
        <v>#NUM!</v>
      </c>
      <c r="BO127" s="4">
        <f t="shared" si="96"/>
        <v>8.2194749199999997</v>
      </c>
      <c r="BP127" s="4">
        <f t="shared" si="97"/>
        <v>-15.77711152</v>
      </c>
      <c r="BQ127">
        <f t="shared" si="98"/>
        <v>8.2194749199999997</v>
      </c>
      <c r="BR127">
        <f t="shared" si="99"/>
        <v>-15.77711152</v>
      </c>
      <c r="BS127">
        <f t="shared" si="78"/>
        <v>1.6706615595841093E-16</v>
      </c>
      <c r="BT127" s="4">
        <f t="shared" si="100"/>
        <v>0.29418182304666912</v>
      </c>
      <c r="BU127" s="1">
        <f t="shared" si="79"/>
        <v>1.643644148734682E-11</v>
      </c>
    </row>
    <row r="128" spans="1:73" x14ac:dyDescent="0.2">
      <c r="A128" s="31">
        <v>67</v>
      </c>
      <c r="B128" s="4">
        <f>INDEX('vapour permeability'!$A$1:$AZ$450,A128,$C$12*2-1)</f>
        <v>8.2194749199999997</v>
      </c>
      <c r="C128" s="4">
        <f>INDEX('vapour permeability'!$A$1:$AZ$450,A128,$C$12*2)</f>
        <v>-15.77711152</v>
      </c>
      <c r="D128" s="49"/>
      <c r="X128" s="13">
        <v>1</v>
      </c>
      <c r="AY128">
        <f t="shared" si="80"/>
        <v>0</v>
      </c>
      <c r="AZ128" s="5">
        <f t="shared" si="81"/>
        <v>804.6</v>
      </c>
      <c r="BA128" s="5">
        <f t="shared" si="82"/>
        <v>358603.25202561129</v>
      </c>
      <c r="BB128" s="29" t="e">
        <f t="shared" si="83"/>
        <v>#NUM!</v>
      </c>
      <c r="BC128" s="29" t="e">
        <f t="shared" si="84"/>
        <v>#NUM!</v>
      </c>
      <c r="BD128" s="29" t="e">
        <f t="shared" si="85"/>
        <v>#NUM!</v>
      </c>
      <c r="BE128" s="29">
        <f t="shared" si="86"/>
        <v>0</v>
      </c>
      <c r="BF128" s="5" t="e">
        <f t="shared" si="87"/>
        <v>#NUM!</v>
      </c>
      <c r="BG128" s="29" t="e">
        <f t="shared" si="88"/>
        <v>#NUM!</v>
      </c>
      <c r="BH128" s="29" t="e">
        <f t="shared" si="89"/>
        <v>#NUM!</v>
      </c>
      <c r="BI128" s="29">
        <f t="shared" si="90"/>
        <v>0</v>
      </c>
      <c r="BJ128" s="30" t="e">
        <f t="shared" si="91"/>
        <v>#NUM!</v>
      </c>
      <c r="BK128" s="29" t="e">
        <f t="shared" si="92"/>
        <v>#NUM!</v>
      </c>
      <c r="BL128" s="29" t="e">
        <f t="shared" si="93"/>
        <v>#NUM!</v>
      </c>
      <c r="BM128" s="29">
        <f t="shared" si="94"/>
        <v>0</v>
      </c>
      <c r="BN128" s="5" t="e">
        <f t="shared" si="95"/>
        <v>#NUM!</v>
      </c>
      <c r="BO128" s="4">
        <f t="shared" si="96"/>
        <v>8.2194749199999997</v>
      </c>
      <c r="BP128" s="4">
        <f t="shared" si="97"/>
        <v>-15.77711152</v>
      </c>
      <c r="BQ128">
        <f t="shared" si="98"/>
        <v>8.2194749199999997</v>
      </c>
      <c r="BR128">
        <f t="shared" si="99"/>
        <v>-15.77711152</v>
      </c>
      <c r="BS128">
        <f t="shared" si="78"/>
        <v>1.6706615595841093E-16</v>
      </c>
      <c r="BT128" s="4">
        <f t="shared" si="100"/>
        <v>0.29418182304666912</v>
      </c>
      <c r="BU128" s="1">
        <f t="shared" si="79"/>
        <v>1.643644148734682E-11</v>
      </c>
    </row>
    <row r="129" spans="1:73" x14ac:dyDescent="0.2">
      <c r="A129" s="31">
        <v>68</v>
      </c>
      <c r="B129" s="4">
        <f>INDEX('vapour permeability'!$A$1:$AZ$450,A129,$C$12*2-1)</f>
        <v>8.2194749199999997</v>
      </c>
      <c r="C129" s="4">
        <f>INDEX('vapour permeability'!$A$1:$AZ$450,A129,$C$12*2)</f>
        <v>-15.77711152</v>
      </c>
      <c r="D129" s="49"/>
      <c r="X129" s="13">
        <v>1</v>
      </c>
      <c r="AY129">
        <f t="shared" si="80"/>
        <v>0</v>
      </c>
      <c r="AZ129" s="5">
        <f t="shared" si="81"/>
        <v>804.6</v>
      </c>
      <c r="BA129" s="5">
        <f t="shared" si="82"/>
        <v>358603.25202561129</v>
      </c>
      <c r="BB129" s="29" t="e">
        <f t="shared" si="83"/>
        <v>#NUM!</v>
      </c>
      <c r="BC129" s="29" t="e">
        <f t="shared" si="84"/>
        <v>#NUM!</v>
      </c>
      <c r="BD129" s="29" t="e">
        <f t="shared" si="85"/>
        <v>#NUM!</v>
      </c>
      <c r="BE129" s="29">
        <f t="shared" si="86"/>
        <v>0</v>
      </c>
      <c r="BF129" s="5" t="e">
        <f t="shared" si="87"/>
        <v>#NUM!</v>
      </c>
      <c r="BG129" s="29" t="e">
        <f t="shared" si="88"/>
        <v>#NUM!</v>
      </c>
      <c r="BH129" s="29" t="e">
        <f t="shared" si="89"/>
        <v>#NUM!</v>
      </c>
      <c r="BI129" s="29">
        <f t="shared" si="90"/>
        <v>0</v>
      </c>
      <c r="BJ129" s="30" t="e">
        <f t="shared" si="91"/>
        <v>#NUM!</v>
      </c>
      <c r="BK129" s="29" t="e">
        <f t="shared" si="92"/>
        <v>#NUM!</v>
      </c>
      <c r="BL129" s="29" t="e">
        <f t="shared" si="93"/>
        <v>#NUM!</v>
      </c>
      <c r="BM129" s="29">
        <f t="shared" si="94"/>
        <v>0</v>
      </c>
      <c r="BN129" s="5" t="e">
        <f t="shared" si="95"/>
        <v>#NUM!</v>
      </c>
      <c r="BO129" s="4">
        <f t="shared" si="96"/>
        <v>8.2194749199999997</v>
      </c>
      <c r="BP129" s="4">
        <f t="shared" si="97"/>
        <v>-15.77711152</v>
      </c>
      <c r="BQ129">
        <f t="shared" si="98"/>
        <v>8.2194749199999997</v>
      </c>
      <c r="BR129">
        <f t="shared" si="99"/>
        <v>-15.77711152</v>
      </c>
      <c r="BS129">
        <f t="shared" si="78"/>
        <v>1.6706615595841093E-16</v>
      </c>
      <c r="BT129" s="4">
        <f t="shared" si="100"/>
        <v>0.29418182304666912</v>
      </c>
      <c r="BU129" s="1">
        <f t="shared" si="79"/>
        <v>1.643644148734682E-11</v>
      </c>
    </row>
    <row r="130" spans="1:73" x14ac:dyDescent="0.2">
      <c r="A130" s="31">
        <v>69</v>
      </c>
      <c r="B130" s="4">
        <f>INDEX('vapour permeability'!$A$1:$AZ$450,A130,$C$12*2-1)</f>
        <v>8.2194749199999997</v>
      </c>
      <c r="C130" s="4">
        <f>INDEX('vapour permeability'!$A$1:$AZ$450,A130,$C$12*2)</f>
        <v>-15.77711152</v>
      </c>
      <c r="D130" s="49"/>
      <c r="X130" s="13">
        <v>1</v>
      </c>
      <c r="AY130">
        <f t="shared" si="80"/>
        <v>0</v>
      </c>
      <c r="AZ130" s="5">
        <f t="shared" si="81"/>
        <v>804.6</v>
      </c>
      <c r="BA130" s="5">
        <f t="shared" si="82"/>
        <v>358603.25202561129</v>
      </c>
      <c r="BB130" s="29" t="e">
        <f t="shared" si="83"/>
        <v>#NUM!</v>
      </c>
      <c r="BC130" s="29" t="e">
        <f t="shared" si="84"/>
        <v>#NUM!</v>
      </c>
      <c r="BD130" s="29" t="e">
        <f t="shared" si="85"/>
        <v>#NUM!</v>
      </c>
      <c r="BE130" s="29">
        <f t="shared" si="86"/>
        <v>0</v>
      </c>
      <c r="BF130" s="5" t="e">
        <f t="shared" si="87"/>
        <v>#NUM!</v>
      </c>
      <c r="BG130" s="29" t="e">
        <f t="shared" si="88"/>
        <v>#NUM!</v>
      </c>
      <c r="BH130" s="29" t="e">
        <f t="shared" si="89"/>
        <v>#NUM!</v>
      </c>
      <c r="BI130" s="29">
        <f t="shared" si="90"/>
        <v>0</v>
      </c>
      <c r="BJ130" s="30" t="e">
        <f t="shared" si="91"/>
        <v>#NUM!</v>
      </c>
      <c r="BK130" s="29" t="e">
        <f t="shared" si="92"/>
        <v>#NUM!</v>
      </c>
      <c r="BL130" s="29" t="e">
        <f t="shared" si="93"/>
        <v>#NUM!</v>
      </c>
      <c r="BM130" s="29">
        <f t="shared" si="94"/>
        <v>0</v>
      </c>
      <c r="BN130" s="5" t="e">
        <f t="shared" si="95"/>
        <v>#NUM!</v>
      </c>
      <c r="BO130" s="4">
        <f t="shared" si="96"/>
        <v>8.2194749199999997</v>
      </c>
      <c r="BP130" s="4">
        <f t="shared" si="97"/>
        <v>-15.77711152</v>
      </c>
      <c r="BQ130">
        <f t="shared" si="98"/>
        <v>8.2194749199999997</v>
      </c>
      <c r="BR130">
        <f t="shared" si="99"/>
        <v>-15.77711152</v>
      </c>
      <c r="BS130">
        <f t="shared" si="78"/>
        <v>1.6706615595841093E-16</v>
      </c>
      <c r="BT130" s="4">
        <f t="shared" si="100"/>
        <v>0.29418182304666912</v>
      </c>
      <c r="BU130" s="1">
        <f t="shared" si="79"/>
        <v>1.643644148734682E-11</v>
      </c>
    </row>
    <row r="131" spans="1:73" x14ac:dyDescent="0.2">
      <c r="A131" s="31">
        <v>70</v>
      </c>
      <c r="B131" s="4">
        <f>INDEX('vapour permeability'!$A$1:$AZ$450,A131,$C$12*2-1)</f>
        <v>8.2194749199999997</v>
      </c>
      <c r="C131" s="4">
        <f>INDEX('vapour permeability'!$A$1:$AZ$450,A131,$C$12*2)</f>
        <v>-15.77711152</v>
      </c>
      <c r="D131" s="49"/>
      <c r="X131" s="13">
        <v>1</v>
      </c>
      <c r="AY131">
        <f t="shared" si="80"/>
        <v>0</v>
      </c>
      <c r="AZ131" s="5">
        <f t="shared" si="81"/>
        <v>804.6</v>
      </c>
      <c r="BA131" s="5">
        <f t="shared" si="82"/>
        <v>358603.25202561129</v>
      </c>
      <c r="BB131" s="29" t="e">
        <f t="shared" si="83"/>
        <v>#NUM!</v>
      </c>
      <c r="BC131" s="29" t="e">
        <f t="shared" si="84"/>
        <v>#NUM!</v>
      </c>
      <c r="BD131" s="29" t="e">
        <f t="shared" si="85"/>
        <v>#NUM!</v>
      </c>
      <c r="BE131" s="29">
        <f t="shared" si="86"/>
        <v>0</v>
      </c>
      <c r="BF131" s="5" t="e">
        <f t="shared" si="87"/>
        <v>#NUM!</v>
      </c>
      <c r="BG131" s="29" t="e">
        <f t="shared" si="88"/>
        <v>#NUM!</v>
      </c>
      <c r="BH131" s="29" t="e">
        <f t="shared" si="89"/>
        <v>#NUM!</v>
      </c>
      <c r="BI131" s="29">
        <f t="shared" si="90"/>
        <v>0</v>
      </c>
      <c r="BJ131" s="30" t="e">
        <f t="shared" si="91"/>
        <v>#NUM!</v>
      </c>
      <c r="BK131" s="29" t="e">
        <f t="shared" si="92"/>
        <v>#NUM!</v>
      </c>
      <c r="BL131" s="29" t="e">
        <f t="shared" si="93"/>
        <v>#NUM!</v>
      </c>
      <c r="BM131" s="29">
        <f t="shared" si="94"/>
        <v>0</v>
      </c>
      <c r="BN131" s="5" t="e">
        <f t="shared" si="95"/>
        <v>#NUM!</v>
      </c>
      <c r="BO131" s="4">
        <f t="shared" si="96"/>
        <v>8.2194749199999997</v>
      </c>
      <c r="BP131" s="4">
        <f t="shared" si="97"/>
        <v>-15.77711152</v>
      </c>
      <c r="BQ131">
        <f t="shared" si="98"/>
        <v>8.2194749199999997</v>
      </c>
      <c r="BR131">
        <f t="shared" si="99"/>
        <v>-15.77711152</v>
      </c>
      <c r="BS131">
        <f t="shared" si="78"/>
        <v>1.6706615595841093E-16</v>
      </c>
      <c r="BT131" s="4">
        <f t="shared" si="100"/>
        <v>0.29418182304666912</v>
      </c>
      <c r="BU131" s="1">
        <f t="shared" si="79"/>
        <v>1.643644148734682E-11</v>
      </c>
    </row>
    <row r="132" spans="1:73" x14ac:dyDescent="0.2">
      <c r="A132" s="31">
        <v>71</v>
      </c>
      <c r="B132" s="4">
        <f>INDEX('vapour permeability'!$A$1:$AZ$450,A132,$C$12*2-1)</f>
        <v>8.2194749199999997</v>
      </c>
      <c r="C132" s="4">
        <f>INDEX('vapour permeability'!$A$1:$AZ$450,A132,$C$12*2)</f>
        <v>-15.77711152</v>
      </c>
      <c r="D132" s="49"/>
      <c r="X132" s="13">
        <v>1</v>
      </c>
      <c r="AY132">
        <f t="shared" si="80"/>
        <v>0</v>
      </c>
      <c r="AZ132" s="5">
        <f t="shared" si="81"/>
        <v>804.6</v>
      </c>
      <c r="BA132" s="5">
        <f t="shared" si="82"/>
        <v>358603.25202561129</v>
      </c>
      <c r="BB132" s="29" t="e">
        <f t="shared" si="83"/>
        <v>#NUM!</v>
      </c>
      <c r="BC132" s="29" t="e">
        <f t="shared" si="84"/>
        <v>#NUM!</v>
      </c>
      <c r="BD132" s="29" t="e">
        <f t="shared" si="85"/>
        <v>#NUM!</v>
      </c>
      <c r="BE132" s="29">
        <f t="shared" si="86"/>
        <v>0</v>
      </c>
      <c r="BF132" s="5" t="e">
        <f t="shared" si="87"/>
        <v>#NUM!</v>
      </c>
      <c r="BG132" s="29" t="e">
        <f t="shared" si="88"/>
        <v>#NUM!</v>
      </c>
      <c r="BH132" s="29" t="e">
        <f t="shared" si="89"/>
        <v>#NUM!</v>
      </c>
      <c r="BI132" s="29">
        <f t="shared" si="90"/>
        <v>0</v>
      </c>
      <c r="BJ132" s="30" t="e">
        <f t="shared" si="91"/>
        <v>#NUM!</v>
      </c>
      <c r="BK132" s="29" t="e">
        <f t="shared" si="92"/>
        <v>#NUM!</v>
      </c>
      <c r="BL132" s="29" t="e">
        <f t="shared" si="93"/>
        <v>#NUM!</v>
      </c>
      <c r="BM132" s="29">
        <f t="shared" si="94"/>
        <v>0</v>
      </c>
      <c r="BN132" s="5" t="e">
        <f t="shared" si="95"/>
        <v>#NUM!</v>
      </c>
      <c r="BO132" s="4">
        <f t="shared" si="96"/>
        <v>8.2194749199999997</v>
      </c>
      <c r="BP132" s="4">
        <f t="shared" si="97"/>
        <v>-15.77711152</v>
      </c>
      <c r="BQ132">
        <f t="shared" si="98"/>
        <v>8.2194749199999997</v>
      </c>
      <c r="BR132">
        <f t="shared" si="99"/>
        <v>-15.77711152</v>
      </c>
      <c r="BS132">
        <f t="shared" si="78"/>
        <v>1.6706615595841093E-16</v>
      </c>
      <c r="BT132" s="4">
        <f t="shared" si="100"/>
        <v>0.29418182304666912</v>
      </c>
      <c r="BU132" s="1">
        <f t="shared" si="79"/>
        <v>1.643644148734682E-11</v>
      </c>
    </row>
    <row r="133" spans="1:73" x14ac:dyDescent="0.2">
      <c r="A133" s="31">
        <v>72</v>
      </c>
      <c r="B133" s="4">
        <f>INDEX('vapour permeability'!$A$1:$AZ$450,A133,$C$12*2-1)</f>
        <v>8.2194749199999997</v>
      </c>
      <c r="C133" s="4">
        <f>INDEX('vapour permeability'!$A$1:$AZ$450,A133,$C$12*2)</f>
        <v>-15.77711152</v>
      </c>
      <c r="D133" s="49"/>
      <c r="X133" s="13">
        <v>1</v>
      </c>
      <c r="AY133">
        <f t="shared" si="80"/>
        <v>0</v>
      </c>
      <c r="AZ133" s="5">
        <f t="shared" si="81"/>
        <v>804.6</v>
      </c>
      <c r="BA133" s="5">
        <f t="shared" si="82"/>
        <v>358603.25202561129</v>
      </c>
      <c r="BB133" s="29" t="e">
        <f t="shared" si="83"/>
        <v>#NUM!</v>
      </c>
      <c r="BC133" s="29" t="e">
        <f t="shared" si="84"/>
        <v>#NUM!</v>
      </c>
      <c r="BD133" s="29" t="e">
        <f t="shared" si="85"/>
        <v>#NUM!</v>
      </c>
      <c r="BE133" s="29">
        <f t="shared" si="86"/>
        <v>0</v>
      </c>
      <c r="BF133" s="5" t="e">
        <f t="shared" si="87"/>
        <v>#NUM!</v>
      </c>
      <c r="BG133" s="29" t="e">
        <f t="shared" si="88"/>
        <v>#NUM!</v>
      </c>
      <c r="BH133" s="29" t="e">
        <f t="shared" si="89"/>
        <v>#NUM!</v>
      </c>
      <c r="BI133" s="29">
        <f t="shared" si="90"/>
        <v>0</v>
      </c>
      <c r="BJ133" s="30" t="e">
        <f t="shared" si="91"/>
        <v>#NUM!</v>
      </c>
      <c r="BK133" s="29" t="e">
        <f t="shared" si="92"/>
        <v>#NUM!</v>
      </c>
      <c r="BL133" s="29" t="e">
        <f t="shared" si="93"/>
        <v>#NUM!</v>
      </c>
      <c r="BM133" s="29">
        <f t="shared" si="94"/>
        <v>0</v>
      </c>
      <c r="BN133" s="5" t="e">
        <f t="shared" si="95"/>
        <v>#NUM!</v>
      </c>
      <c r="BO133" s="4">
        <f t="shared" si="96"/>
        <v>8.2194749199999997</v>
      </c>
      <c r="BP133" s="4">
        <f t="shared" si="97"/>
        <v>-15.77711152</v>
      </c>
      <c r="BQ133">
        <f t="shared" si="98"/>
        <v>8.2194749199999997</v>
      </c>
      <c r="BR133">
        <f t="shared" si="99"/>
        <v>-15.77711152</v>
      </c>
      <c r="BS133">
        <f t="shared" si="78"/>
        <v>1.6706615595841093E-16</v>
      </c>
      <c r="BT133" s="4">
        <f t="shared" si="100"/>
        <v>0.29418182304666912</v>
      </c>
      <c r="BU133" s="1">
        <f t="shared" si="79"/>
        <v>1.643644148734682E-11</v>
      </c>
    </row>
    <row r="134" spans="1:73" x14ac:dyDescent="0.2">
      <c r="A134" s="31">
        <v>73</v>
      </c>
      <c r="B134" s="4">
        <f>INDEX('vapour permeability'!$A$1:$AZ$450,A134,$C$12*2-1)</f>
        <v>8.2194749199999997</v>
      </c>
      <c r="C134" s="4">
        <f>INDEX('vapour permeability'!$A$1:$AZ$450,A134,$C$12*2)</f>
        <v>-15.77711152</v>
      </c>
      <c r="D134" s="49"/>
      <c r="X134" s="13">
        <v>1</v>
      </c>
      <c r="AY134">
        <f t="shared" si="80"/>
        <v>0</v>
      </c>
      <c r="AZ134" s="5">
        <f t="shared" si="81"/>
        <v>804.6</v>
      </c>
      <c r="BA134" s="5">
        <f t="shared" si="82"/>
        <v>358603.25202561129</v>
      </c>
      <c r="BB134" s="29" t="e">
        <f t="shared" si="83"/>
        <v>#NUM!</v>
      </c>
      <c r="BC134" s="29" t="e">
        <f t="shared" si="84"/>
        <v>#NUM!</v>
      </c>
      <c r="BD134" s="29" t="e">
        <f t="shared" si="85"/>
        <v>#NUM!</v>
      </c>
      <c r="BE134" s="29">
        <f t="shared" si="86"/>
        <v>0</v>
      </c>
      <c r="BF134" s="5" t="e">
        <f t="shared" si="87"/>
        <v>#NUM!</v>
      </c>
      <c r="BG134" s="29" t="e">
        <f t="shared" si="88"/>
        <v>#NUM!</v>
      </c>
      <c r="BH134" s="29" t="e">
        <f t="shared" si="89"/>
        <v>#NUM!</v>
      </c>
      <c r="BI134" s="29">
        <f t="shared" si="90"/>
        <v>0</v>
      </c>
      <c r="BJ134" s="30" t="e">
        <f t="shared" si="91"/>
        <v>#NUM!</v>
      </c>
      <c r="BK134" s="29" t="e">
        <f t="shared" si="92"/>
        <v>#NUM!</v>
      </c>
      <c r="BL134" s="29" t="e">
        <f t="shared" si="93"/>
        <v>#NUM!</v>
      </c>
      <c r="BM134" s="29">
        <f t="shared" si="94"/>
        <v>0</v>
      </c>
      <c r="BN134" s="5" t="e">
        <f t="shared" si="95"/>
        <v>#NUM!</v>
      </c>
      <c r="BO134" s="4">
        <f t="shared" si="96"/>
        <v>8.2194749199999997</v>
      </c>
      <c r="BP134" s="4">
        <f t="shared" si="97"/>
        <v>-15.77711152</v>
      </c>
      <c r="BQ134">
        <f t="shared" si="98"/>
        <v>8.2194749199999997</v>
      </c>
      <c r="BR134">
        <f t="shared" si="99"/>
        <v>-15.77711152</v>
      </c>
      <c r="BS134">
        <f t="shared" si="78"/>
        <v>1.6706615595841093E-16</v>
      </c>
      <c r="BT134" s="4">
        <f t="shared" si="100"/>
        <v>0.29418182304666912</v>
      </c>
      <c r="BU134" s="1">
        <f t="shared" si="79"/>
        <v>1.643644148734682E-11</v>
      </c>
    </row>
    <row r="135" spans="1:73" x14ac:dyDescent="0.2">
      <c r="A135" s="31">
        <v>74</v>
      </c>
      <c r="B135" s="4">
        <f>INDEX('vapour permeability'!$A$1:$AZ$450,A135,$C$12*2-1)</f>
        <v>8.2194749199999997</v>
      </c>
      <c r="C135" s="4">
        <f>INDEX('vapour permeability'!$A$1:$AZ$450,A135,$C$12*2)</f>
        <v>-15.77711152</v>
      </c>
      <c r="D135" s="49"/>
      <c r="X135" s="13">
        <v>1</v>
      </c>
      <c r="AY135">
        <f t="shared" si="80"/>
        <v>0</v>
      </c>
      <c r="AZ135" s="5">
        <f t="shared" si="81"/>
        <v>804.6</v>
      </c>
      <c r="BA135" s="5">
        <f t="shared" si="82"/>
        <v>358603.25202561129</v>
      </c>
      <c r="BB135" s="29" t="e">
        <f t="shared" si="83"/>
        <v>#NUM!</v>
      </c>
      <c r="BC135" s="29" t="e">
        <f t="shared" si="84"/>
        <v>#NUM!</v>
      </c>
      <c r="BD135" s="29" t="e">
        <f t="shared" si="85"/>
        <v>#NUM!</v>
      </c>
      <c r="BE135" s="29">
        <f t="shared" si="86"/>
        <v>0</v>
      </c>
      <c r="BF135" s="5" t="e">
        <f t="shared" si="87"/>
        <v>#NUM!</v>
      </c>
      <c r="BG135" s="29" t="e">
        <f t="shared" si="88"/>
        <v>#NUM!</v>
      </c>
      <c r="BH135" s="29" t="e">
        <f t="shared" si="89"/>
        <v>#NUM!</v>
      </c>
      <c r="BI135" s="29">
        <f t="shared" si="90"/>
        <v>0</v>
      </c>
      <c r="BJ135" s="30" t="e">
        <f t="shared" si="91"/>
        <v>#NUM!</v>
      </c>
      <c r="BK135" s="29" t="e">
        <f t="shared" si="92"/>
        <v>#NUM!</v>
      </c>
      <c r="BL135" s="29" t="e">
        <f t="shared" si="93"/>
        <v>#NUM!</v>
      </c>
      <c r="BM135" s="29">
        <f t="shared" si="94"/>
        <v>0</v>
      </c>
      <c r="BN135" s="5" t="e">
        <f t="shared" si="95"/>
        <v>#NUM!</v>
      </c>
      <c r="BO135" s="4">
        <f t="shared" ref="BO135:BO166" si="101">B192</f>
        <v>8.2194749199999997</v>
      </c>
      <c r="BP135" s="4">
        <f t="shared" ref="BP135:BP166" si="102">C192</f>
        <v>-15.77711152</v>
      </c>
      <c r="BQ135">
        <f t="shared" ref="BQ135:BQ166" si="103">IF(C$48=4,BO135,Z135)</f>
        <v>8.2194749199999997</v>
      </c>
      <c r="BR135">
        <f t="shared" ref="BR135:BR166" si="104">IF(C$48=1,AY135,IF(C$48=2,BA135,IF(C$48=3,BN135,BP135)))</f>
        <v>-15.77711152</v>
      </c>
      <c r="BS135">
        <f t="shared" si="78"/>
        <v>1.6706615595841093E-16</v>
      </c>
      <c r="BT135" s="4">
        <f t="shared" ref="BT135:BT166" si="105">IF(C$48=4,EXP(-(10^BQ135)/(($C$9+273.3)*$C$10*$C$11)),X135)</f>
        <v>0.29418182304666912</v>
      </c>
      <c r="BU135" s="1">
        <f t="shared" si="79"/>
        <v>1.643644148734682E-11</v>
      </c>
    </row>
    <row r="136" spans="1:73" x14ac:dyDescent="0.2">
      <c r="A136" s="31">
        <v>75</v>
      </c>
      <c r="B136" s="4">
        <f>INDEX('vapour permeability'!$A$1:$AZ$450,A136,$C$12*2-1)</f>
        <v>8.2194749199999997</v>
      </c>
      <c r="C136" s="4">
        <f>INDEX('vapour permeability'!$A$1:$AZ$450,A136,$C$12*2)</f>
        <v>-15.77711152</v>
      </c>
      <c r="D136" s="49"/>
      <c r="X136" s="13">
        <v>1</v>
      </c>
      <c r="AY136">
        <f t="shared" si="80"/>
        <v>0</v>
      </c>
      <c r="AZ136" s="5">
        <f t="shared" si="81"/>
        <v>804.6</v>
      </c>
      <c r="BA136" s="5">
        <f t="shared" si="82"/>
        <v>358603.25202561129</v>
      </c>
      <c r="BB136" s="29" t="e">
        <f t="shared" si="83"/>
        <v>#NUM!</v>
      </c>
      <c r="BC136" s="29" t="e">
        <f t="shared" si="84"/>
        <v>#NUM!</v>
      </c>
      <c r="BD136" s="29" t="e">
        <f t="shared" si="85"/>
        <v>#NUM!</v>
      </c>
      <c r="BE136" s="29">
        <f t="shared" si="86"/>
        <v>0</v>
      </c>
      <c r="BF136" s="5" t="e">
        <f t="shared" si="87"/>
        <v>#NUM!</v>
      </c>
      <c r="BG136" s="29" t="e">
        <f t="shared" si="88"/>
        <v>#NUM!</v>
      </c>
      <c r="BH136" s="29" t="e">
        <f t="shared" si="89"/>
        <v>#NUM!</v>
      </c>
      <c r="BI136" s="29">
        <f t="shared" si="90"/>
        <v>0</v>
      </c>
      <c r="BJ136" s="30" t="e">
        <f t="shared" si="91"/>
        <v>#NUM!</v>
      </c>
      <c r="BK136" s="29" t="e">
        <f t="shared" si="92"/>
        <v>#NUM!</v>
      </c>
      <c r="BL136" s="29" t="e">
        <f t="shared" si="93"/>
        <v>#NUM!</v>
      </c>
      <c r="BM136" s="29">
        <f t="shared" si="94"/>
        <v>0</v>
      </c>
      <c r="BN136" s="5" t="e">
        <f t="shared" si="95"/>
        <v>#NUM!</v>
      </c>
      <c r="BO136" s="4">
        <f t="shared" si="101"/>
        <v>8.2194749199999997</v>
      </c>
      <c r="BP136" s="4">
        <f t="shared" si="102"/>
        <v>-15.77711152</v>
      </c>
      <c r="BQ136">
        <f t="shared" si="103"/>
        <v>8.2194749199999997</v>
      </c>
      <c r="BR136">
        <f t="shared" si="104"/>
        <v>-15.77711152</v>
      </c>
      <c r="BS136">
        <f t="shared" ref="BS136:BS199" si="106">10^BR136</f>
        <v>1.6706615595841093E-16</v>
      </c>
      <c r="BT136" s="4">
        <f t="shared" si="105"/>
        <v>0.29418182304666912</v>
      </c>
      <c r="BU136" s="1">
        <f t="shared" si="79"/>
        <v>1.643644148734682E-11</v>
      </c>
    </row>
    <row r="137" spans="1:73" x14ac:dyDescent="0.2">
      <c r="A137" s="31">
        <v>76</v>
      </c>
      <c r="B137" s="4">
        <f>INDEX('vapour permeability'!$A$1:$AZ$450,A137,$C$12*2-1)</f>
        <v>8.2194749199999997</v>
      </c>
      <c r="C137" s="4">
        <f>INDEX('vapour permeability'!$A$1:$AZ$450,A137,$C$12*2)</f>
        <v>-15.77711152</v>
      </c>
      <c r="D137" s="49"/>
      <c r="X137" s="13">
        <v>1</v>
      </c>
      <c r="AY137">
        <f t="shared" si="80"/>
        <v>0</v>
      </c>
      <c r="AZ137" s="5">
        <f t="shared" si="81"/>
        <v>804.6</v>
      </c>
      <c r="BA137" s="5">
        <f t="shared" si="82"/>
        <v>358603.25202561129</v>
      </c>
      <c r="BB137" s="29" t="e">
        <f t="shared" si="83"/>
        <v>#NUM!</v>
      </c>
      <c r="BC137" s="29" t="e">
        <f t="shared" si="84"/>
        <v>#NUM!</v>
      </c>
      <c r="BD137" s="29" t="e">
        <f t="shared" si="85"/>
        <v>#NUM!</v>
      </c>
      <c r="BE137" s="29">
        <f t="shared" si="86"/>
        <v>0</v>
      </c>
      <c r="BF137" s="5" t="e">
        <f t="shared" si="87"/>
        <v>#NUM!</v>
      </c>
      <c r="BG137" s="29" t="e">
        <f t="shared" si="88"/>
        <v>#NUM!</v>
      </c>
      <c r="BH137" s="29" t="e">
        <f t="shared" si="89"/>
        <v>#NUM!</v>
      </c>
      <c r="BI137" s="29">
        <f t="shared" si="90"/>
        <v>0</v>
      </c>
      <c r="BJ137" s="30" t="e">
        <f t="shared" si="91"/>
        <v>#NUM!</v>
      </c>
      <c r="BK137" s="29" t="e">
        <f t="shared" si="92"/>
        <v>#NUM!</v>
      </c>
      <c r="BL137" s="29" t="e">
        <f t="shared" si="93"/>
        <v>#NUM!</v>
      </c>
      <c r="BM137" s="29">
        <f t="shared" si="94"/>
        <v>0</v>
      </c>
      <c r="BN137" s="5" t="e">
        <f t="shared" si="95"/>
        <v>#NUM!</v>
      </c>
      <c r="BO137" s="4">
        <f t="shared" si="101"/>
        <v>8.2194749199999997</v>
      </c>
      <c r="BP137" s="4">
        <f t="shared" si="102"/>
        <v>-15.77711152</v>
      </c>
      <c r="BQ137">
        <f t="shared" si="103"/>
        <v>8.2194749199999997</v>
      </c>
      <c r="BR137">
        <f t="shared" si="104"/>
        <v>-15.77711152</v>
      </c>
      <c r="BS137">
        <f t="shared" si="106"/>
        <v>1.6706615595841093E-16</v>
      </c>
      <c r="BT137" s="4">
        <f t="shared" si="105"/>
        <v>0.29418182304666912</v>
      </c>
      <c r="BU137" s="1">
        <f t="shared" si="79"/>
        <v>1.643644148734682E-11</v>
      </c>
    </row>
    <row r="138" spans="1:73" x14ac:dyDescent="0.2">
      <c r="A138" s="31">
        <v>77</v>
      </c>
      <c r="B138" s="4">
        <f>INDEX('vapour permeability'!$A$1:$AZ$450,A138,$C$12*2-1)</f>
        <v>8.2194749199999997</v>
      </c>
      <c r="C138" s="4">
        <f>INDEX('vapour permeability'!$A$1:$AZ$450,A138,$C$12*2)</f>
        <v>-15.77711152</v>
      </c>
      <c r="D138" s="49"/>
      <c r="X138" s="13">
        <v>1</v>
      </c>
      <c r="AY138">
        <f t="shared" si="80"/>
        <v>0</v>
      </c>
      <c r="AZ138" s="5">
        <f t="shared" si="81"/>
        <v>804.6</v>
      </c>
      <c r="BA138" s="5">
        <f t="shared" si="82"/>
        <v>358603.25202561129</v>
      </c>
      <c r="BB138" s="29" t="e">
        <f t="shared" si="83"/>
        <v>#NUM!</v>
      </c>
      <c r="BC138" s="29" t="e">
        <f t="shared" si="84"/>
        <v>#NUM!</v>
      </c>
      <c r="BD138" s="29" t="e">
        <f t="shared" si="85"/>
        <v>#NUM!</v>
      </c>
      <c r="BE138" s="29">
        <f t="shared" si="86"/>
        <v>0</v>
      </c>
      <c r="BF138" s="5" t="e">
        <f t="shared" si="87"/>
        <v>#NUM!</v>
      </c>
      <c r="BG138" s="29" t="e">
        <f t="shared" si="88"/>
        <v>#NUM!</v>
      </c>
      <c r="BH138" s="29" t="e">
        <f t="shared" si="89"/>
        <v>#NUM!</v>
      </c>
      <c r="BI138" s="29">
        <f t="shared" si="90"/>
        <v>0</v>
      </c>
      <c r="BJ138" s="30" t="e">
        <f t="shared" si="91"/>
        <v>#NUM!</v>
      </c>
      <c r="BK138" s="29" t="e">
        <f t="shared" si="92"/>
        <v>#NUM!</v>
      </c>
      <c r="BL138" s="29" t="e">
        <f t="shared" si="93"/>
        <v>#NUM!</v>
      </c>
      <c r="BM138" s="29">
        <f t="shared" si="94"/>
        <v>0</v>
      </c>
      <c r="BN138" s="5" t="e">
        <f t="shared" si="95"/>
        <v>#NUM!</v>
      </c>
      <c r="BO138" s="4">
        <f t="shared" si="101"/>
        <v>8.2194749199999997</v>
      </c>
      <c r="BP138" s="4">
        <f t="shared" si="102"/>
        <v>-15.77711152</v>
      </c>
      <c r="BQ138">
        <f t="shared" si="103"/>
        <v>8.2194749199999997</v>
      </c>
      <c r="BR138">
        <f t="shared" si="104"/>
        <v>-15.77711152</v>
      </c>
      <c r="BS138">
        <f t="shared" si="106"/>
        <v>1.6706615595841093E-16</v>
      </c>
      <c r="BT138" s="4">
        <f t="shared" si="105"/>
        <v>0.29418182304666912</v>
      </c>
      <c r="BU138" s="1">
        <f t="shared" si="79"/>
        <v>1.643644148734682E-11</v>
      </c>
    </row>
    <row r="139" spans="1:73" x14ac:dyDescent="0.2">
      <c r="A139" s="31">
        <v>78</v>
      </c>
      <c r="B139" s="4">
        <f>INDEX('vapour permeability'!$A$1:$AZ$450,A139,$C$12*2-1)</f>
        <v>8.2194749199999997</v>
      </c>
      <c r="C139" s="4">
        <f>INDEX('vapour permeability'!$A$1:$AZ$450,A139,$C$12*2)</f>
        <v>-15.77711152</v>
      </c>
      <c r="D139" s="49"/>
      <c r="X139" s="13">
        <v>1</v>
      </c>
      <c r="AY139">
        <f t="shared" si="80"/>
        <v>0</v>
      </c>
      <c r="AZ139" s="5">
        <f t="shared" si="81"/>
        <v>804.6</v>
      </c>
      <c r="BA139" s="5">
        <f t="shared" si="82"/>
        <v>358603.25202561129</v>
      </c>
      <c r="BB139" s="29" t="e">
        <f t="shared" si="83"/>
        <v>#NUM!</v>
      </c>
      <c r="BC139" s="29" t="e">
        <f t="shared" si="84"/>
        <v>#NUM!</v>
      </c>
      <c r="BD139" s="29" t="e">
        <f t="shared" si="85"/>
        <v>#NUM!</v>
      </c>
      <c r="BE139" s="29">
        <f t="shared" si="86"/>
        <v>0</v>
      </c>
      <c r="BF139" s="5" t="e">
        <f t="shared" si="87"/>
        <v>#NUM!</v>
      </c>
      <c r="BG139" s="29" t="e">
        <f t="shared" si="88"/>
        <v>#NUM!</v>
      </c>
      <c r="BH139" s="29" t="e">
        <f t="shared" si="89"/>
        <v>#NUM!</v>
      </c>
      <c r="BI139" s="29">
        <f t="shared" si="90"/>
        <v>0</v>
      </c>
      <c r="BJ139" s="30" t="e">
        <f t="shared" si="91"/>
        <v>#NUM!</v>
      </c>
      <c r="BK139" s="29" t="e">
        <f t="shared" si="92"/>
        <v>#NUM!</v>
      </c>
      <c r="BL139" s="29" t="e">
        <f t="shared" si="93"/>
        <v>#NUM!</v>
      </c>
      <c r="BM139" s="29">
        <f t="shared" si="94"/>
        <v>0</v>
      </c>
      <c r="BN139" s="5" t="e">
        <f t="shared" si="95"/>
        <v>#NUM!</v>
      </c>
      <c r="BO139" s="4">
        <f t="shared" si="101"/>
        <v>8.2194749199999997</v>
      </c>
      <c r="BP139" s="4">
        <f t="shared" si="102"/>
        <v>-15.77711152</v>
      </c>
      <c r="BQ139">
        <f t="shared" si="103"/>
        <v>8.2194749199999997</v>
      </c>
      <c r="BR139">
        <f t="shared" si="104"/>
        <v>-15.77711152</v>
      </c>
      <c r="BS139">
        <f t="shared" si="106"/>
        <v>1.6706615595841093E-16</v>
      </c>
      <c r="BT139" s="4">
        <f t="shared" si="105"/>
        <v>0.29418182304666912</v>
      </c>
      <c r="BU139" s="1">
        <f t="shared" si="79"/>
        <v>1.643644148734682E-11</v>
      </c>
    </row>
    <row r="140" spans="1:73" x14ac:dyDescent="0.2">
      <c r="A140" s="31">
        <v>79</v>
      </c>
      <c r="B140" s="4">
        <f>INDEX('vapour permeability'!$A$1:$AZ$450,A140,$C$12*2-1)</f>
        <v>8.2194749199999997</v>
      </c>
      <c r="C140" s="4">
        <f>INDEX('vapour permeability'!$A$1:$AZ$450,A140,$C$12*2)</f>
        <v>-15.77711152</v>
      </c>
      <c r="D140" s="49"/>
      <c r="X140" s="13">
        <v>1</v>
      </c>
      <c r="AY140">
        <f t="shared" si="80"/>
        <v>0</v>
      </c>
      <c r="AZ140" s="5">
        <f t="shared" si="81"/>
        <v>804.6</v>
      </c>
      <c r="BA140" s="5">
        <f t="shared" si="82"/>
        <v>358603.25202561129</v>
      </c>
      <c r="BB140" s="29" t="e">
        <f t="shared" si="83"/>
        <v>#NUM!</v>
      </c>
      <c r="BC140" s="29" t="e">
        <f t="shared" si="84"/>
        <v>#NUM!</v>
      </c>
      <c r="BD140" s="29" t="e">
        <f t="shared" si="85"/>
        <v>#NUM!</v>
      </c>
      <c r="BE140" s="29">
        <f t="shared" si="86"/>
        <v>0</v>
      </c>
      <c r="BF140" s="5" t="e">
        <f t="shared" si="87"/>
        <v>#NUM!</v>
      </c>
      <c r="BG140" s="29" t="e">
        <f t="shared" si="88"/>
        <v>#NUM!</v>
      </c>
      <c r="BH140" s="29" t="e">
        <f t="shared" si="89"/>
        <v>#NUM!</v>
      </c>
      <c r="BI140" s="29">
        <f t="shared" si="90"/>
        <v>0</v>
      </c>
      <c r="BJ140" s="30" t="e">
        <f t="shared" si="91"/>
        <v>#NUM!</v>
      </c>
      <c r="BK140" s="29" t="e">
        <f t="shared" si="92"/>
        <v>#NUM!</v>
      </c>
      <c r="BL140" s="29" t="e">
        <f t="shared" si="93"/>
        <v>#NUM!</v>
      </c>
      <c r="BM140" s="29">
        <f t="shared" si="94"/>
        <v>0</v>
      </c>
      <c r="BN140" s="5" t="e">
        <f t="shared" si="95"/>
        <v>#NUM!</v>
      </c>
      <c r="BO140" s="4">
        <f t="shared" si="101"/>
        <v>8.2194749199999997</v>
      </c>
      <c r="BP140" s="4">
        <f t="shared" si="102"/>
        <v>-15.77711152</v>
      </c>
      <c r="BQ140">
        <f t="shared" si="103"/>
        <v>8.2194749199999997</v>
      </c>
      <c r="BR140">
        <f t="shared" si="104"/>
        <v>-15.77711152</v>
      </c>
      <c r="BS140">
        <f t="shared" si="106"/>
        <v>1.6706615595841093E-16</v>
      </c>
      <c r="BT140" s="4">
        <f t="shared" si="105"/>
        <v>0.29418182304666912</v>
      </c>
      <c r="BU140" s="1">
        <f t="shared" si="79"/>
        <v>1.643644148734682E-11</v>
      </c>
    </row>
    <row r="141" spans="1:73" x14ac:dyDescent="0.2">
      <c r="A141" s="31">
        <v>80</v>
      </c>
      <c r="B141" s="4">
        <f>INDEX('vapour permeability'!$A$1:$AZ$450,A141,$C$12*2-1)</f>
        <v>8.2194749199999997</v>
      </c>
      <c r="C141" s="4">
        <f>INDEX('vapour permeability'!$A$1:$AZ$450,A141,$C$12*2)</f>
        <v>-15.77711152</v>
      </c>
      <c r="D141" s="49"/>
      <c r="X141" s="13">
        <v>1</v>
      </c>
      <c r="AY141">
        <f t="shared" si="80"/>
        <v>0</v>
      </c>
      <c r="AZ141" s="5">
        <f t="shared" si="81"/>
        <v>804.6</v>
      </c>
      <c r="BA141" s="5">
        <f t="shared" si="82"/>
        <v>358603.25202561129</v>
      </c>
      <c r="BB141" s="29" t="e">
        <f t="shared" si="83"/>
        <v>#NUM!</v>
      </c>
      <c r="BC141" s="29" t="e">
        <f t="shared" si="84"/>
        <v>#NUM!</v>
      </c>
      <c r="BD141" s="29" t="e">
        <f t="shared" si="85"/>
        <v>#NUM!</v>
      </c>
      <c r="BE141" s="29">
        <f t="shared" si="86"/>
        <v>0</v>
      </c>
      <c r="BF141" s="5" t="e">
        <f t="shared" si="87"/>
        <v>#NUM!</v>
      </c>
      <c r="BG141" s="29" t="e">
        <f t="shared" si="88"/>
        <v>#NUM!</v>
      </c>
      <c r="BH141" s="29" t="e">
        <f t="shared" si="89"/>
        <v>#NUM!</v>
      </c>
      <c r="BI141" s="29">
        <f t="shared" si="90"/>
        <v>0</v>
      </c>
      <c r="BJ141" s="30" t="e">
        <f t="shared" si="91"/>
        <v>#NUM!</v>
      </c>
      <c r="BK141" s="29" t="e">
        <f t="shared" si="92"/>
        <v>#NUM!</v>
      </c>
      <c r="BL141" s="29" t="e">
        <f t="shared" si="93"/>
        <v>#NUM!</v>
      </c>
      <c r="BM141" s="29">
        <f t="shared" si="94"/>
        <v>0</v>
      </c>
      <c r="BN141" s="5" t="e">
        <f t="shared" si="95"/>
        <v>#NUM!</v>
      </c>
      <c r="BO141" s="4">
        <f t="shared" si="101"/>
        <v>8.2194749199999997</v>
      </c>
      <c r="BP141" s="4">
        <f t="shared" si="102"/>
        <v>-15.77711152</v>
      </c>
      <c r="BQ141">
        <f t="shared" si="103"/>
        <v>8.2194749199999997</v>
      </c>
      <c r="BR141">
        <f t="shared" si="104"/>
        <v>-15.77711152</v>
      </c>
      <c r="BS141">
        <f t="shared" si="106"/>
        <v>1.6706615595841093E-16</v>
      </c>
      <c r="BT141" s="4">
        <f t="shared" si="105"/>
        <v>0.29418182304666912</v>
      </c>
      <c r="BU141" s="1">
        <f t="shared" si="79"/>
        <v>1.643644148734682E-11</v>
      </c>
    </row>
    <row r="142" spans="1:73" x14ac:dyDescent="0.2">
      <c r="A142" s="31">
        <v>81</v>
      </c>
      <c r="B142" s="4">
        <f>INDEX('vapour permeability'!$A$1:$AZ$450,A142,$C$12*2-1)</f>
        <v>8.2194749199999997</v>
      </c>
      <c r="C142" s="4">
        <f>INDEX('vapour permeability'!$A$1:$AZ$450,A142,$C$12*2)</f>
        <v>-15.77711152</v>
      </c>
      <c r="D142" s="49"/>
      <c r="X142" s="13">
        <v>1</v>
      </c>
      <c r="AY142">
        <f t="shared" si="80"/>
        <v>0</v>
      </c>
      <c r="AZ142" s="5">
        <f t="shared" si="81"/>
        <v>804.6</v>
      </c>
      <c r="BA142" s="5">
        <f t="shared" si="82"/>
        <v>358603.25202561129</v>
      </c>
      <c r="BB142" s="29" t="e">
        <f t="shared" si="83"/>
        <v>#NUM!</v>
      </c>
      <c r="BC142" s="29" t="e">
        <f t="shared" si="84"/>
        <v>#NUM!</v>
      </c>
      <c r="BD142" s="29" t="e">
        <f t="shared" si="85"/>
        <v>#NUM!</v>
      </c>
      <c r="BE142" s="29">
        <f t="shared" si="86"/>
        <v>0</v>
      </c>
      <c r="BF142" s="5" t="e">
        <f t="shared" si="87"/>
        <v>#NUM!</v>
      </c>
      <c r="BG142" s="29" t="e">
        <f t="shared" si="88"/>
        <v>#NUM!</v>
      </c>
      <c r="BH142" s="29" t="e">
        <f t="shared" si="89"/>
        <v>#NUM!</v>
      </c>
      <c r="BI142" s="29">
        <f t="shared" si="90"/>
        <v>0</v>
      </c>
      <c r="BJ142" s="30" t="e">
        <f t="shared" si="91"/>
        <v>#NUM!</v>
      </c>
      <c r="BK142" s="29" t="e">
        <f t="shared" si="92"/>
        <v>#NUM!</v>
      </c>
      <c r="BL142" s="29" t="e">
        <f t="shared" si="93"/>
        <v>#NUM!</v>
      </c>
      <c r="BM142" s="29">
        <f t="shared" si="94"/>
        <v>0</v>
      </c>
      <c r="BN142" s="5" t="e">
        <f t="shared" si="95"/>
        <v>#NUM!</v>
      </c>
      <c r="BO142" s="4">
        <f t="shared" si="101"/>
        <v>8.2194749199999997</v>
      </c>
      <c r="BP142" s="4">
        <f t="shared" si="102"/>
        <v>-15.77711152</v>
      </c>
      <c r="BQ142">
        <f t="shared" si="103"/>
        <v>8.2194749199999997</v>
      </c>
      <c r="BR142">
        <f t="shared" si="104"/>
        <v>-15.77711152</v>
      </c>
      <c r="BS142">
        <f t="shared" si="106"/>
        <v>1.6706615595841093E-16</v>
      </c>
      <c r="BT142" s="4">
        <f t="shared" si="105"/>
        <v>0.29418182304666912</v>
      </c>
      <c r="BU142" s="1">
        <f t="shared" si="79"/>
        <v>1.643644148734682E-11</v>
      </c>
    </row>
    <row r="143" spans="1:73" x14ac:dyDescent="0.2">
      <c r="A143" s="31">
        <v>82</v>
      </c>
      <c r="B143" s="4">
        <f>INDEX('vapour permeability'!$A$1:$AZ$450,A143,$C$12*2-1)</f>
        <v>8.2194749199999997</v>
      </c>
      <c r="C143" s="4">
        <f>INDEX('vapour permeability'!$A$1:$AZ$450,A143,$C$12*2)</f>
        <v>-15.77711152</v>
      </c>
      <c r="D143" s="49"/>
      <c r="X143" s="13">
        <v>1</v>
      </c>
      <c r="AY143">
        <f t="shared" si="80"/>
        <v>0</v>
      </c>
      <c r="AZ143" s="5">
        <f t="shared" si="81"/>
        <v>804.6</v>
      </c>
      <c r="BA143" s="5">
        <f t="shared" si="82"/>
        <v>358603.25202561129</v>
      </c>
      <c r="BB143" s="29" t="e">
        <f t="shared" si="83"/>
        <v>#NUM!</v>
      </c>
      <c r="BC143" s="29" t="e">
        <f t="shared" si="84"/>
        <v>#NUM!</v>
      </c>
      <c r="BD143" s="29" t="e">
        <f t="shared" si="85"/>
        <v>#NUM!</v>
      </c>
      <c r="BE143" s="29">
        <f t="shared" si="86"/>
        <v>0</v>
      </c>
      <c r="BF143" s="5" t="e">
        <f t="shared" si="87"/>
        <v>#NUM!</v>
      </c>
      <c r="BG143" s="29" t="e">
        <f t="shared" si="88"/>
        <v>#NUM!</v>
      </c>
      <c r="BH143" s="29" t="e">
        <f t="shared" si="89"/>
        <v>#NUM!</v>
      </c>
      <c r="BI143" s="29">
        <f t="shared" si="90"/>
        <v>0</v>
      </c>
      <c r="BJ143" s="30" t="e">
        <f t="shared" si="91"/>
        <v>#NUM!</v>
      </c>
      <c r="BK143" s="29" t="e">
        <f t="shared" si="92"/>
        <v>#NUM!</v>
      </c>
      <c r="BL143" s="29" t="e">
        <f t="shared" si="93"/>
        <v>#NUM!</v>
      </c>
      <c r="BM143" s="29">
        <f t="shared" si="94"/>
        <v>0</v>
      </c>
      <c r="BN143" s="5" t="e">
        <f t="shared" si="95"/>
        <v>#NUM!</v>
      </c>
      <c r="BO143" s="4">
        <f t="shared" si="101"/>
        <v>8.2194749199999997</v>
      </c>
      <c r="BP143" s="4">
        <f t="shared" si="102"/>
        <v>-15.77711152</v>
      </c>
      <c r="BQ143">
        <f t="shared" si="103"/>
        <v>8.2194749199999997</v>
      </c>
      <c r="BR143">
        <f t="shared" si="104"/>
        <v>-15.77711152</v>
      </c>
      <c r="BS143">
        <f t="shared" si="106"/>
        <v>1.6706615595841093E-16</v>
      </c>
      <c r="BT143" s="4">
        <f t="shared" si="105"/>
        <v>0.29418182304666912</v>
      </c>
      <c r="BU143" s="1">
        <f t="shared" si="79"/>
        <v>1.643644148734682E-11</v>
      </c>
    </row>
    <row r="144" spans="1:73" x14ac:dyDescent="0.2">
      <c r="A144" s="31">
        <v>83</v>
      </c>
      <c r="B144" s="4">
        <f>INDEX('vapour permeability'!$A$1:$AZ$450,A144,$C$12*2-1)</f>
        <v>8.2194749199999997</v>
      </c>
      <c r="C144" s="4">
        <f>INDEX('vapour permeability'!$A$1:$AZ$450,A144,$C$12*2)</f>
        <v>-15.77711152</v>
      </c>
      <c r="D144" s="49"/>
      <c r="X144" s="13">
        <v>1</v>
      </c>
      <c r="AY144">
        <f t="shared" si="80"/>
        <v>0</v>
      </c>
      <c r="AZ144" s="5">
        <f t="shared" si="81"/>
        <v>804.6</v>
      </c>
      <c r="BA144" s="5">
        <f t="shared" si="82"/>
        <v>358603.25202561129</v>
      </c>
      <c r="BB144" s="29" t="e">
        <f t="shared" si="83"/>
        <v>#NUM!</v>
      </c>
      <c r="BC144" s="29" t="e">
        <f t="shared" si="84"/>
        <v>#NUM!</v>
      </c>
      <c r="BD144" s="29" t="e">
        <f t="shared" si="85"/>
        <v>#NUM!</v>
      </c>
      <c r="BE144" s="29">
        <f t="shared" si="86"/>
        <v>0</v>
      </c>
      <c r="BF144" s="5" t="e">
        <f t="shared" si="87"/>
        <v>#NUM!</v>
      </c>
      <c r="BG144" s="29" t="e">
        <f t="shared" si="88"/>
        <v>#NUM!</v>
      </c>
      <c r="BH144" s="29" t="e">
        <f t="shared" si="89"/>
        <v>#NUM!</v>
      </c>
      <c r="BI144" s="29">
        <f t="shared" si="90"/>
        <v>0</v>
      </c>
      <c r="BJ144" s="30" t="e">
        <f t="shared" si="91"/>
        <v>#NUM!</v>
      </c>
      <c r="BK144" s="29" t="e">
        <f t="shared" si="92"/>
        <v>#NUM!</v>
      </c>
      <c r="BL144" s="29" t="e">
        <f t="shared" si="93"/>
        <v>#NUM!</v>
      </c>
      <c r="BM144" s="29">
        <f t="shared" si="94"/>
        <v>0</v>
      </c>
      <c r="BN144" s="5" t="e">
        <f t="shared" si="95"/>
        <v>#NUM!</v>
      </c>
      <c r="BO144" s="4">
        <f t="shared" si="101"/>
        <v>8.2194749199999997</v>
      </c>
      <c r="BP144" s="4">
        <f t="shared" si="102"/>
        <v>-15.77711152</v>
      </c>
      <c r="BQ144">
        <f t="shared" si="103"/>
        <v>8.2194749199999997</v>
      </c>
      <c r="BR144">
        <f t="shared" si="104"/>
        <v>-15.77711152</v>
      </c>
      <c r="BS144">
        <f t="shared" si="106"/>
        <v>1.6706615595841093E-16</v>
      </c>
      <c r="BT144" s="4">
        <f t="shared" si="105"/>
        <v>0.29418182304666912</v>
      </c>
      <c r="BU144" s="1">
        <f t="shared" si="79"/>
        <v>1.643644148734682E-11</v>
      </c>
    </row>
    <row r="145" spans="1:73" x14ac:dyDescent="0.2">
      <c r="A145" s="31">
        <v>84</v>
      </c>
      <c r="B145" s="4">
        <f>INDEX('vapour permeability'!$A$1:$AZ$450,A145,$C$12*2-1)</f>
        <v>8.2194749199999997</v>
      </c>
      <c r="C145" s="4">
        <f>INDEX('vapour permeability'!$A$1:$AZ$450,A145,$C$12*2)</f>
        <v>-15.77711152</v>
      </c>
      <c r="D145" s="49"/>
      <c r="X145" s="13">
        <v>1</v>
      </c>
      <c r="AY145">
        <f t="shared" si="80"/>
        <v>0</v>
      </c>
      <c r="AZ145" s="5">
        <f t="shared" si="81"/>
        <v>804.6</v>
      </c>
      <c r="BA145" s="5">
        <f t="shared" si="82"/>
        <v>358603.25202561129</v>
      </c>
      <c r="BB145" s="29" t="e">
        <f t="shared" si="83"/>
        <v>#NUM!</v>
      </c>
      <c r="BC145" s="29" t="e">
        <f t="shared" si="84"/>
        <v>#NUM!</v>
      </c>
      <c r="BD145" s="29" t="e">
        <f t="shared" si="85"/>
        <v>#NUM!</v>
      </c>
      <c r="BE145" s="29">
        <f t="shared" si="86"/>
        <v>0</v>
      </c>
      <c r="BF145" s="5" t="e">
        <f t="shared" si="87"/>
        <v>#NUM!</v>
      </c>
      <c r="BG145" s="29" t="e">
        <f t="shared" si="88"/>
        <v>#NUM!</v>
      </c>
      <c r="BH145" s="29" t="e">
        <f t="shared" si="89"/>
        <v>#NUM!</v>
      </c>
      <c r="BI145" s="29">
        <f t="shared" si="90"/>
        <v>0</v>
      </c>
      <c r="BJ145" s="30" t="e">
        <f t="shared" si="91"/>
        <v>#NUM!</v>
      </c>
      <c r="BK145" s="29" t="e">
        <f t="shared" si="92"/>
        <v>#NUM!</v>
      </c>
      <c r="BL145" s="29" t="e">
        <f t="shared" si="93"/>
        <v>#NUM!</v>
      </c>
      <c r="BM145" s="29">
        <f t="shared" si="94"/>
        <v>0</v>
      </c>
      <c r="BN145" s="5" t="e">
        <f t="shared" si="95"/>
        <v>#NUM!</v>
      </c>
      <c r="BO145" s="4">
        <f t="shared" si="101"/>
        <v>8.2194749199999997</v>
      </c>
      <c r="BP145" s="4">
        <f t="shared" si="102"/>
        <v>-15.77711152</v>
      </c>
      <c r="BQ145">
        <f t="shared" si="103"/>
        <v>8.2194749199999997</v>
      </c>
      <c r="BR145">
        <f t="shared" si="104"/>
        <v>-15.77711152</v>
      </c>
      <c r="BS145">
        <f t="shared" si="106"/>
        <v>1.6706615595841093E-16</v>
      </c>
      <c r="BT145" s="4">
        <f t="shared" si="105"/>
        <v>0.29418182304666912</v>
      </c>
      <c r="BU145" s="1">
        <f t="shared" si="79"/>
        <v>1.643644148734682E-11</v>
      </c>
    </row>
    <row r="146" spans="1:73" x14ac:dyDescent="0.2">
      <c r="A146" s="31">
        <v>85</v>
      </c>
      <c r="B146" s="4">
        <f>INDEX('vapour permeability'!$A$1:$AZ$450,A146,$C$12*2-1)</f>
        <v>8.2194749199999997</v>
      </c>
      <c r="C146" s="4">
        <f>INDEX('vapour permeability'!$A$1:$AZ$450,A146,$C$12*2)</f>
        <v>-15.77711152</v>
      </c>
      <c r="D146" s="49"/>
      <c r="X146" s="13">
        <v>1</v>
      </c>
      <c r="AY146">
        <f t="shared" si="80"/>
        <v>0</v>
      </c>
      <c r="AZ146" s="5">
        <f t="shared" si="81"/>
        <v>804.6</v>
      </c>
      <c r="BA146" s="5">
        <f t="shared" si="82"/>
        <v>358603.25202561129</v>
      </c>
      <c r="BB146" s="29" t="e">
        <f t="shared" si="83"/>
        <v>#NUM!</v>
      </c>
      <c r="BC146" s="29" t="e">
        <f t="shared" si="84"/>
        <v>#NUM!</v>
      </c>
      <c r="BD146" s="29" t="e">
        <f t="shared" si="85"/>
        <v>#NUM!</v>
      </c>
      <c r="BE146" s="29">
        <f t="shared" si="86"/>
        <v>0</v>
      </c>
      <c r="BF146" s="5" t="e">
        <f t="shared" si="87"/>
        <v>#NUM!</v>
      </c>
      <c r="BG146" s="29" t="e">
        <f t="shared" si="88"/>
        <v>#NUM!</v>
      </c>
      <c r="BH146" s="29" t="e">
        <f t="shared" si="89"/>
        <v>#NUM!</v>
      </c>
      <c r="BI146" s="29">
        <f t="shared" si="90"/>
        <v>0</v>
      </c>
      <c r="BJ146" s="30" t="e">
        <f t="shared" si="91"/>
        <v>#NUM!</v>
      </c>
      <c r="BK146" s="29" t="e">
        <f t="shared" si="92"/>
        <v>#NUM!</v>
      </c>
      <c r="BL146" s="29" t="e">
        <f t="shared" si="93"/>
        <v>#NUM!</v>
      </c>
      <c r="BM146" s="29">
        <f t="shared" si="94"/>
        <v>0</v>
      </c>
      <c r="BN146" s="5" t="e">
        <f t="shared" si="95"/>
        <v>#NUM!</v>
      </c>
      <c r="BO146" s="4">
        <f t="shared" si="101"/>
        <v>8.2194749199999997</v>
      </c>
      <c r="BP146" s="4">
        <f t="shared" si="102"/>
        <v>-15.77711152</v>
      </c>
      <c r="BQ146">
        <f t="shared" si="103"/>
        <v>8.2194749199999997</v>
      </c>
      <c r="BR146">
        <f t="shared" si="104"/>
        <v>-15.77711152</v>
      </c>
      <c r="BS146">
        <f t="shared" si="106"/>
        <v>1.6706615595841093E-16</v>
      </c>
      <c r="BT146" s="4">
        <f t="shared" si="105"/>
        <v>0.29418182304666912</v>
      </c>
      <c r="BU146" s="1">
        <f t="shared" si="79"/>
        <v>1.643644148734682E-11</v>
      </c>
    </row>
    <row r="147" spans="1:73" x14ac:dyDescent="0.2">
      <c r="A147" s="31">
        <v>86</v>
      </c>
      <c r="B147" s="4">
        <f>INDEX('vapour permeability'!$A$1:$AZ$450,A147,$C$12*2-1)</f>
        <v>8.2194749199999997</v>
      </c>
      <c r="C147" s="4">
        <f>INDEX('vapour permeability'!$A$1:$AZ$450,A147,$C$12*2)</f>
        <v>-15.77711152</v>
      </c>
      <c r="D147" s="49"/>
      <c r="X147" s="13">
        <v>1</v>
      </c>
      <c r="AY147">
        <f t="shared" si="80"/>
        <v>0</v>
      </c>
      <c r="AZ147" s="5">
        <f t="shared" si="81"/>
        <v>804.6</v>
      </c>
      <c r="BA147" s="5">
        <f t="shared" si="82"/>
        <v>358603.25202561129</v>
      </c>
      <c r="BB147" s="29" t="e">
        <f t="shared" si="83"/>
        <v>#NUM!</v>
      </c>
      <c r="BC147" s="29" t="e">
        <f t="shared" si="84"/>
        <v>#NUM!</v>
      </c>
      <c r="BD147" s="29" t="e">
        <f t="shared" si="85"/>
        <v>#NUM!</v>
      </c>
      <c r="BE147" s="29">
        <f t="shared" si="86"/>
        <v>0</v>
      </c>
      <c r="BF147" s="5" t="e">
        <f t="shared" si="87"/>
        <v>#NUM!</v>
      </c>
      <c r="BG147" s="29" t="e">
        <f t="shared" si="88"/>
        <v>#NUM!</v>
      </c>
      <c r="BH147" s="29" t="e">
        <f t="shared" si="89"/>
        <v>#NUM!</v>
      </c>
      <c r="BI147" s="29">
        <f t="shared" si="90"/>
        <v>0</v>
      </c>
      <c r="BJ147" s="30" t="e">
        <f t="shared" si="91"/>
        <v>#NUM!</v>
      </c>
      <c r="BK147" s="29" t="e">
        <f t="shared" si="92"/>
        <v>#NUM!</v>
      </c>
      <c r="BL147" s="29" t="e">
        <f t="shared" si="93"/>
        <v>#NUM!</v>
      </c>
      <c r="BM147" s="29">
        <f t="shared" si="94"/>
        <v>0</v>
      </c>
      <c r="BN147" s="5" t="e">
        <f t="shared" si="95"/>
        <v>#NUM!</v>
      </c>
      <c r="BO147" s="4">
        <f t="shared" si="101"/>
        <v>8.2194749199999997</v>
      </c>
      <c r="BP147" s="4">
        <f t="shared" si="102"/>
        <v>-15.77711152</v>
      </c>
      <c r="BQ147">
        <f t="shared" si="103"/>
        <v>8.2194749199999997</v>
      </c>
      <c r="BR147">
        <f t="shared" si="104"/>
        <v>-15.77711152</v>
      </c>
      <c r="BS147">
        <f t="shared" si="106"/>
        <v>1.6706615595841093E-16</v>
      </c>
      <c r="BT147" s="4">
        <f t="shared" si="105"/>
        <v>0.29418182304666912</v>
      </c>
      <c r="BU147" s="1">
        <f t="shared" si="79"/>
        <v>1.643644148734682E-11</v>
      </c>
    </row>
    <row r="148" spans="1:73" x14ac:dyDescent="0.2">
      <c r="A148" s="31">
        <v>87</v>
      </c>
      <c r="B148" s="4">
        <f>INDEX('vapour permeability'!$A$1:$AZ$450,A148,$C$12*2-1)</f>
        <v>8.2194749199999997</v>
      </c>
      <c r="C148" s="4">
        <f>INDEX('vapour permeability'!$A$1:$AZ$450,A148,$C$12*2)</f>
        <v>-15.77711152</v>
      </c>
      <c r="D148" s="49"/>
      <c r="X148" s="13">
        <v>1</v>
      </c>
      <c r="AY148">
        <f t="shared" si="80"/>
        <v>0</v>
      </c>
      <c r="AZ148" s="5">
        <f t="shared" si="81"/>
        <v>804.6</v>
      </c>
      <c r="BA148" s="5">
        <f t="shared" si="82"/>
        <v>358603.25202561129</v>
      </c>
      <c r="BB148" s="29" t="e">
        <f t="shared" si="83"/>
        <v>#NUM!</v>
      </c>
      <c r="BC148" s="29" t="e">
        <f t="shared" si="84"/>
        <v>#NUM!</v>
      </c>
      <c r="BD148" s="29" t="e">
        <f t="shared" si="85"/>
        <v>#NUM!</v>
      </c>
      <c r="BE148" s="29">
        <f t="shared" si="86"/>
        <v>0</v>
      </c>
      <c r="BF148" s="5" t="e">
        <f t="shared" si="87"/>
        <v>#NUM!</v>
      </c>
      <c r="BG148" s="29" t="e">
        <f t="shared" si="88"/>
        <v>#NUM!</v>
      </c>
      <c r="BH148" s="29" t="e">
        <f t="shared" si="89"/>
        <v>#NUM!</v>
      </c>
      <c r="BI148" s="29">
        <f t="shared" si="90"/>
        <v>0</v>
      </c>
      <c r="BJ148" s="30" t="e">
        <f t="shared" si="91"/>
        <v>#NUM!</v>
      </c>
      <c r="BK148" s="29" t="e">
        <f t="shared" si="92"/>
        <v>#NUM!</v>
      </c>
      <c r="BL148" s="29" t="e">
        <f t="shared" si="93"/>
        <v>#NUM!</v>
      </c>
      <c r="BM148" s="29">
        <f t="shared" si="94"/>
        <v>0</v>
      </c>
      <c r="BN148" s="5" t="e">
        <f t="shared" si="95"/>
        <v>#NUM!</v>
      </c>
      <c r="BO148" s="4">
        <f t="shared" si="101"/>
        <v>8.2194749199999997</v>
      </c>
      <c r="BP148" s="4">
        <f t="shared" si="102"/>
        <v>-15.77711152</v>
      </c>
      <c r="BQ148">
        <f t="shared" si="103"/>
        <v>8.2194749199999997</v>
      </c>
      <c r="BR148">
        <f t="shared" si="104"/>
        <v>-15.77711152</v>
      </c>
      <c r="BS148">
        <f t="shared" si="106"/>
        <v>1.6706615595841093E-16</v>
      </c>
      <c r="BT148" s="4">
        <f t="shared" si="105"/>
        <v>0.29418182304666912</v>
      </c>
      <c r="BU148" s="1">
        <f t="shared" si="79"/>
        <v>1.643644148734682E-11</v>
      </c>
    </row>
    <row r="149" spans="1:73" x14ac:dyDescent="0.2">
      <c r="A149" s="31">
        <v>88</v>
      </c>
      <c r="B149" s="4">
        <f>INDEX('vapour permeability'!$A$1:$AZ$450,A149,$C$12*2-1)</f>
        <v>8.2194749199999997</v>
      </c>
      <c r="C149" s="4">
        <f>INDEX('vapour permeability'!$A$1:$AZ$450,A149,$C$12*2)</f>
        <v>-15.77711152</v>
      </c>
      <c r="D149" s="49"/>
      <c r="X149" s="13">
        <v>1</v>
      </c>
      <c r="AY149">
        <f t="shared" si="80"/>
        <v>0</v>
      </c>
      <c r="AZ149" s="5">
        <f t="shared" si="81"/>
        <v>804.6</v>
      </c>
      <c r="BA149" s="5">
        <f t="shared" si="82"/>
        <v>358603.25202561129</v>
      </c>
      <c r="BB149" s="29" t="e">
        <f t="shared" si="83"/>
        <v>#NUM!</v>
      </c>
      <c r="BC149" s="29" t="e">
        <f t="shared" si="84"/>
        <v>#NUM!</v>
      </c>
      <c r="BD149" s="29" t="e">
        <f t="shared" si="85"/>
        <v>#NUM!</v>
      </c>
      <c r="BE149" s="29">
        <f t="shared" si="86"/>
        <v>0</v>
      </c>
      <c r="BF149" s="5" t="e">
        <f t="shared" si="87"/>
        <v>#NUM!</v>
      </c>
      <c r="BG149" s="29" t="e">
        <f t="shared" si="88"/>
        <v>#NUM!</v>
      </c>
      <c r="BH149" s="29" t="e">
        <f t="shared" si="89"/>
        <v>#NUM!</v>
      </c>
      <c r="BI149" s="29">
        <f t="shared" si="90"/>
        <v>0</v>
      </c>
      <c r="BJ149" s="30" t="e">
        <f t="shared" si="91"/>
        <v>#NUM!</v>
      </c>
      <c r="BK149" s="29" t="e">
        <f t="shared" si="92"/>
        <v>#NUM!</v>
      </c>
      <c r="BL149" s="29" t="e">
        <f t="shared" si="93"/>
        <v>#NUM!</v>
      </c>
      <c r="BM149" s="29">
        <f t="shared" si="94"/>
        <v>0</v>
      </c>
      <c r="BN149" s="5" t="e">
        <f t="shared" si="95"/>
        <v>#NUM!</v>
      </c>
      <c r="BO149" s="4">
        <f t="shared" si="101"/>
        <v>8.2194749199999997</v>
      </c>
      <c r="BP149" s="4">
        <f t="shared" si="102"/>
        <v>-15.77711152</v>
      </c>
      <c r="BQ149">
        <f t="shared" si="103"/>
        <v>8.2194749199999997</v>
      </c>
      <c r="BR149">
        <f t="shared" si="104"/>
        <v>-15.77711152</v>
      </c>
      <c r="BS149">
        <f t="shared" si="106"/>
        <v>1.6706615595841093E-16</v>
      </c>
      <c r="BT149" s="4">
        <f t="shared" si="105"/>
        <v>0.29418182304666912</v>
      </c>
      <c r="BU149" s="1">
        <f t="shared" ref="BU149:BU206" si="107">BU148</f>
        <v>1.643644148734682E-11</v>
      </c>
    </row>
    <row r="150" spans="1:73" x14ac:dyDescent="0.2">
      <c r="A150" s="31">
        <v>89</v>
      </c>
      <c r="B150" s="4">
        <f>INDEX('vapour permeability'!$A$1:$AZ$450,A150,$C$12*2-1)</f>
        <v>8.2194749199999997</v>
      </c>
      <c r="C150" s="4">
        <f>INDEX('vapour permeability'!$A$1:$AZ$450,A150,$C$12*2)</f>
        <v>-15.77711152</v>
      </c>
      <c r="D150" s="49"/>
      <c r="X150" s="13">
        <v>1</v>
      </c>
      <c r="AY150">
        <f t="shared" ref="AY150:AY206" si="108">AY149</f>
        <v>0</v>
      </c>
      <c r="AZ150" s="5">
        <f t="shared" ref="AZ150:AZ206" si="109">AZ149</f>
        <v>804.6</v>
      </c>
      <c r="BA150" s="5">
        <f t="shared" ref="BA150:BA206" si="110">BA149</f>
        <v>358603.25202561129</v>
      </c>
      <c r="BB150" s="29" t="e">
        <f t="shared" ref="BB150:BB206" si="111">(-C$51*Y150)^C$52</f>
        <v>#NUM!</v>
      </c>
      <c r="BC150" s="29" t="e">
        <f t="shared" ref="BC150:BC206" si="112">C$54*(1+BB150)^(-C$53)</f>
        <v>#NUM!</v>
      </c>
      <c r="BD150" s="29" t="e">
        <f t="shared" ref="BD150:BD206" si="113">C$54*C$51*(1-(BB150/(1+BB150))^C$53)</f>
        <v>#NUM!</v>
      </c>
      <c r="BE150" s="29">
        <f t="shared" ref="BE150:BE206" si="114">C$54*C$51</f>
        <v>0</v>
      </c>
      <c r="BF150" s="5" t="e">
        <f t="shared" ref="BF150:BF206" si="115">(-C$55*Y150)^C$56</f>
        <v>#NUM!</v>
      </c>
      <c r="BG150" s="29" t="e">
        <f t="shared" ref="BG150:BG206" si="116">BC150+C$58*(1+BF150)^(-C$57)</f>
        <v>#NUM!</v>
      </c>
      <c r="BH150" s="29" t="e">
        <f t="shared" ref="BH150:BH206" si="117">BD150+C$58*C$55*(1-(BF150/(1+BF150))^C$57)</f>
        <v>#NUM!</v>
      </c>
      <c r="BI150" s="29">
        <f t="shared" ref="BI150:BI206" si="118">BE150+C$58*C$55</f>
        <v>0</v>
      </c>
      <c r="BJ150" s="30" t="e">
        <f t="shared" ref="BJ150:BJ206" si="119">(-C$59*Y150)^C$60</f>
        <v>#NUM!</v>
      </c>
      <c r="BK150" s="29" t="e">
        <f t="shared" ref="BK150:BK206" si="120">BG150+C$62*(1+BJ150)^(-C$61)</f>
        <v>#NUM!</v>
      </c>
      <c r="BL150" s="29" t="e">
        <f t="shared" ref="BL150:BL206" si="121">BH150+C$62*C$59*(1-(BJ150/(1+BJ150))^C$61)</f>
        <v>#NUM!</v>
      </c>
      <c r="BM150" s="29">
        <f t="shared" ref="BM150:BM206" si="122">BI150+C$62*C$59</f>
        <v>0</v>
      </c>
      <c r="BN150" s="5" t="e">
        <f t="shared" ref="BN150:BN206" si="123">LOG((C$49*(BK150^C$50)*((BL150/BM150)^2)),10)</f>
        <v>#NUM!</v>
      </c>
      <c r="BO150" s="4">
        <f t="shared" si="101"/>
        <v>8.2194749199999997</v>
      </c>
      <c r="BP150" s="4">
        <f t="shared" si="102"/>
        <v>-15.77711152</v>
      </c>
      <c r="BQ150">
        <f t="shared" si="103"/>
        <v>8.2194749199999997</v>
      </c>
      <c r="BR150">
        <f t="shared" si="104"/>
        <v>-15.77711152</v>
      </c>
      <c r="BS150">
        <f t="shared" si="106"/>
        <v>1.6706615595841093E-16</v>
      </c>
      <c r="BT150" s="4">
        <f t="shared" si="105"/>
        <v>0.29418182304666912</v>
      </c>
      <c r="BU150" s="1">
        <f t="shared" si="107"/>
        <v>1.643644148734682E-11</v>
      </c>
    </row>
    <row r="151" spans="1:73" x14ac:dyDescent="0.2">
      <c r="A151" s="31">
        <v>90</v>
      </c>
      <c r="B151" s="4">
        <f>INDEX('vapour permeability'!$A$1:$AZ$450,A151,$C$12*2-1)</f>
        <v>8.2194749199999997</v>
      </c>
      <c r="C151" s="4">
        <f>INDEX('vapour permeability'!$A$1:$AZ$450,A151,$C$12*2)</f>
        <v>-15.77711152</v>
      </c>
      <c r="D151" s="49"/>
      <c r="X151" s="13">
        <v>1</v>
      </c>
      <c r="AY151">
        <f t="shared" si="108"/>
        <v>0</v>
      </c>
      <c r="AZ151" s="5">
        <f t="shared" si="109"/>
        <v>804.6</v>
      </c>
      <c r="BA151" s="5">
        <f t="shared" si="110"/>
        <v>358603.25202561129</v>
      </c>
      <c r="BB151" s="29" t="e">
        <f t="shared" si="111"/>
        <v>#NUM!</v>
      </c>
      <c r="BC151" s="29" t="e">
        <f t="shared" si="112"/>
        <v>#NUM!</v>
      </c>
      <c r="BD151" s="29" t="e">
        <f t="shared" si="113"/>
        <v>#NUM!</v>
      </c>
      <c r="BE151" s="29">
        <f t="shared" si="114"/>
        <v>0</v>
      </c>
      <c r="BF151" s="5" t="e">
        <f t="shared" si="115"/>
        <v>#NUM!</v>
      </c>
      <c r="BG151" s="29" t="e">
        <f t="shared" si="116"/>
        <v>#NUM!</v>
      </c>
      <c r="BH151" s="29" t="e">
        <f t="shared" si="117"/>
        <v>#NUM!</v>
      </c>
      <c r="BI151" s="29">
        <f t="shared" si="118"/>
        <v>0</v>
      </c>
      <c r="BJ151" s="30" t="e">
        <f t="shared" si="119"/>
        <v>#NUM!</v>
      </c>
      <c r="BK151" s="29" t="e">
        <f t="shared" si="120"/>
        <v>#NUM!</v>
      </c>
      <c r="BL151" s="29" t="e">
        <f t="shared" si="121"/>
        <v>#NUM!</v>
      </c>
      <c r="BM151" s="29">
        <f t="shared" si="122"/>
        <v>0</v>
      </c>
      <c r="BN151" s="5" t="e">
        <f t="shared" si="123"/>
        <v>#NUM!</v>
      </c>
      <c r="BO151" s="4">
        <f t="shared" si="101"/>
        <v>8.2194749199999997</v>
      </c>
      <c r="BP151" s="4">
        <f t="shared" si="102"/>
        <v>-15.77711152</v>
      </c>
      <c r="BQ151">
        <f t="shared" si="103"/>
        <v>8.2194749199999997</v>
      </c>
      <c r="BR151">
        <f t="shared" si="104"/>
        <v>-15.77711152</v>
      </c>
      <c r="BS151">
        <f t="shared" si="106"/>
        <v>1.6706615595841093E-16</v>
      </c>
      <c r="BT151" s="4">
        <f t="shared" si="105"/>
        <v>0.29418182304666912</v>
      </c>
      <c r="BU151" s="1">
        <f t="shared" si="107"/>
        <v>1.643644148734682E-11</v>
      </c>
    </row>
    <row r="152" spans="1:73" x14ac:dyDescent="0.2">
      <c r="A152" s="31">
        <v>91</v>
      </c>
      <c r="B152" s="4">
        <f>INDEX('vapour permeability'!$A$1:$AZ$450,A152,$C$12*2-1)</f>
        <v>8.2194749199999997</v>
      </c>
      <c r="C152" s="4">
        <f>INDEX('vapour permeability'!$A$1:$AZ$450,A152,$C$12*2)</f>
        <v>-15.77711152</v>
      </c>
      <c r="D152" s="49"/>
      <c r="X152" s="13">
        <v>1</v>
      </c>
      <c r="AY152">
        <f t="shared" si="108"/>
        <v>0</v>
      </c>
      <c r="AZ152" s="5">
        <f t="shared" si="109"/>
        <v>804.6</v>
      </c>
      <c r="BA152" s="5">
        <f t="shared" si="110"/>
        <v>358603.25202561129</v>
      </c>
      <c r="BB152" s="29" t="e">
        <f t="shared" si="111"/>
        <v>#NUM!</v>
      </c>
      <c r="BC152" s="29" t="e">
        <f t="shared" si="112"/>
        <v>#NUM!</v>
      </c>
      <c r="BD152" s="29" t="e">
        <f t="shared" si="113"/>
        <v>#NUM!</v>
      </c>
      <c r="BE152" s="29">
        <f t="shared" si="114"/>
        <v>0</v>
      </c>
      <c r="BF152" s="5" t="e">
        <f t="shared" si="115"/>
        <v>#NUM!</v>
      </c>
      <c r="BG152" s="29" t="e">
        <f t="shared" si="116"/>
        <v>#NUM!</v>
      </c>
      <c r="BH152" s="29" t="e">
        <f t="shared" si="117"/>
        <v>#NUM!</v>
      </c>
      <c r="BI152" s="29">
        <f t="shared" si="118"/>
        <v>0</v>
      </c>
      <c r="BJ152" s="30" t="e">
        <f t="shared" si="119"/>
        <v>#NUM!</v>
      </c>
      <c r="BK152" s="29" t="e">
        <f t="shared" si="120"/>
        <v>#NUM!</v>
      </c>
      <c r="BL152" s="29" t="e">
        <f t="shared" si="121"/>
        <v>#NUM!</v>
      </c>
      <c r="BM152" s="29">
        <f t="shared" si="122"/>
        <v>0</v>
      </c>
      <c r="BN152" s="5" t="e">
        <f t="shared" si="123"/>
        <v>#NUM!</v>
      </c>
      <c r="BO152" s="4">
        <f t="shared" si="101"/>
        <v>8.2194749199999997</v>
      </c>
      <c r="BP152" s="4">
        <f t="shared" si="102"/>
        <v>-15.77711152</v>
      </c>
      <c r="BQ152">
        <f t="shared" si="103"/>
        <v>8.2194749199999997</v>
      </c>
      <c r="BR152">
        <f t="shared" si="104"/>
        <v>-15.77711152</v>
      </c>
      <c r="BS152">
        <f t="shared" si="106"/>
        <v>1.6706615595841093E-16</v>
      </c>
      <c r="BT152" s="4">
        <f t="shared" si="105"/>
        <v>0.29418182304666912</v>
      </c>
      <c r="BU152" s="1">
        <f t="shared" si="107"/>
        <v>1.643644148734682E-11</v>
      </c>
    </row>
    <row r="153" spans="1:73" x14ac:dyDescent="0.2">
      <c r="A153" s="31">
        <v>92</v>
      </c>
      <c r="B153" s="4">
        <f>INDEX('vapour permeability'!$A$1:$AZ$450,A153,$C$12*2-1)</f>
        <v>8.2194749199999997</v>
      </c>
      <c r="C153" s="4">
        <f>INDEX('vapour permeability'!$A$1:$AZ$450,A153,$C$12*2)</f>
        <v>-15.77711152</v>
      </c>
      <c r="D153" s="49"/>
      <c r="X153" s="13">
        <v>1</v>
      </c>
      <c r="AY153">
        <f t="shared" si="108"/>
        <v>0</v>
      </c>
      <c r="AZ153" s="5">
        <f t="shared" si="109"/>
        <v>804.6</v>
      </c>
      <c r="BA153" s="5">
        <f t="shared" si="110"/>
        <v>358603.25202561129</v>
      </c>
      <c r="BB153" s="29" t="e">
        <f t="shared" si="111"/>
        <v>#NUM!</v>
      </c>
      <c r="BC153" s="29" t="e">
        <f t="shared" si="112"/>
        <v>#NUM!</v>
      </c>
      <c r="BD153" s="29" t="e">
        <f t="shared" si="113"/>
        <v>#NUM!</v>
      </c>
      <c r="BE153" s="29">
        <f t="shared" si="114"/>
        <v>0</v>
      </c>
      <c r="BF153" s="5" t="e">
        <f t="shared" si="115"/>
        <v>#NUM!</v>
      </c>
      <c r="BG153" s="29" t="e">
        <f t="shared" si="116"/>
        <v>#NUM!</v>
      </c>
      <c r="BH153" s="29" t="e">
        <f t="shared" si="117"/>
        <v>#NUM!</v>
      </c>
      <c r="BI153" s="29">
        <f t="shared" si="118"/>
        <v>0</v>
      </c>
      <c r="BJ153" s="30" t="e">
        <f t="shared" si="119"/>
        <v>#NUM!</v>
      </c>
      <c r="BK153" s="29" t="e">
        <f t="shared" si="120"/>
        <v>#NUM!</v>
      </c>
      <c r="BL153" s="29" t="e">
        <f t="shared" si="121"/>
        <v>#NUM!</v>
      </c>
      <c r="BM153" s="29">
        <f t="shared" si="122"/>
        <v>0</v>
      </c>
      <c r="BN153" s="5" t="e">
        <f t="shared" si="123"/>
        <v>#NUM!</v>
      </c>
      <c r="BO153" s="4">
        <f t="shared" si="101"/>
        <v>8.2194749199999997</v>
      </c>
      <c r="BP153" s="4">
        <f t="shared" si="102"/>
        <v>-15.77711152</v>
      </c>
      <c r="BQ153">
        <f t="shared" si="103"/>
        <v>8.2194749199999997</v>
      </c>
      <c r="BR153">
        <f t="shared" si="104"/>
        <v>-15.77711152</v>
      </c>
      <c r="BS153">
        <f t="shared" si="106"/>
        <v>1.6706615595841093E-16</v>
      </c>
      <c r="BT153" s="4">
        <f t="shared" si="105"/>
        <v>0.29418182304666912</v>
      </c>
      <c r="BU153" s="1">
        <f t="shared" si="107"/>
        <v>1.643644148734682E-11</v>
      </c>
    </row>
    <row r="154" spans="1:73" x14ac:dyDescent="0.2">
      <c r="A154" s="31">
        <v>93</v>
      </c>
      <c r="B154" s="4">
        <f>INDEX('vapour permeability'!$A$1:$AZ$450,A154,$C$12*2-1)</f>
        <v>8.2194749199999997</v>
      </c>
      <c r="C154" s="4">
        <f>INDEX('vapour permeability'!$A$1:$AZ$450,A154,$C$12*2)</f>
        <v>-15.77711152</v>
      </c>
      <c r="D154" s="49"/>
      <c r="X154" s="13">
        <v>1</v>
      </c>
      <c r="AY154">
        <f t="shared" si="108"/>
        <v>0</v>
      </c>
      <c r="AZ154" s="5">
        <f t="shared" si="109"/>
        <v>804.6</v>
      </c>
      <c r="BA154" s="5">
        <f t="shared" si="110"/>
        <v>358603.25202561129</v>
      </c>
      <c r="BB154" s="29" t="e">
        <f t="shared" si="111"/>
        <v>#NUM!</v>
      </c>
      <c r="BC154" s="29" t="e">
        <f t="shared" si="112"/>
        <v>#NUM!</v>
      </c>
      <c r="BD154" s="29" t="e">
        <f t="shared" si="113"/>
        <v>#NUM!</v>
      </c>
      <c r="BE154" s="29">
        <f t="shared" si="114"/>
        <v>0</v>
      </c>
      <c r="BF154" s="5" t="e">
        <f t="shared" si="115"/>
        <v>#NUM!</v>
      </c>
      <c r="BG154" s="29" t="e">
        <f t="shared" si="116"/>
        <v>#NUM!</v>
      </c>
      <c r="BH154" s="29" t="e">
        <f t="shared" si="117"/>
        <v>#NUM!</v>
      </c>
      <c r="BI154" s="29">
        <f t="shared" si="118"/>
        <v>0</v>
      </c>
      <c r="BJ154" s="30" t="e">
        <f t="shared" si="119"/>
        <v>#NUM!</v>
      </c>
      <c r="BK154" s="29" t="e">
        <f t="shared" si="120"/>
        <v>#NUM!</v>
      </c>
      <c r="BL154" s="29" t="e">
        <f t="shared" si="121"/>
        <v>#NUM!</v>
      </c>
      <c r="BM154" s="29">
        <f t="shared" si="122"/>
        <v>0</v>
      </c>
      <c r="BN154" s="5" t="e">
        <f t="shared" si="123"/>
        <v>#NUM!</v>
      </c>
      <c r="BO154" s="4">
        <f t="shared" si="101"/>
        <v>8.2194749199999997</v>
      </c>
      <c r="BP154" s="4">
        <f t="shared" si="102"/>
        <v>-15.77711152</v>
      </c>
      <c r="BQ154">
        <f t="shared" si="103"/>
        <v>8.2194749199999997</v>
      </c>
      <c r="BR154">
        <f t="shared" si="104"/>
        <v>-15.77711152</v>
      </c>
      <c r="BS154">
        <f t="shared" si="106"/>
        <v>1.6706615595841093E-16</v>
      </c>
      <c r="BT154" s="4">
        <f t="shared" si="105"/>
        <v>0.29418182304666912</v>
      </c>
      <c r="BU154" s="1">
        <f t="shared" si="107"/>
        <v>1.643644148734682E-11</v>
      </c>
    </row>
    <row r="155" spans="1:73" x14ac:dyDescent="0.2">
      <c r="A155" s="31">
        <v>94</v>
      </c>
      <c r="B155" s="4">
        <f>INDEX('vapour permeability'!$A$1:$AZ$450,A155,$C$12*2-1)</f>
        <v>8.2194749199999997</v>
      </c>
      <c r="C155" s="4">
        <f>INDEX('vapour permeability'!$A$1:$AZ$450,A155,$C$12*2)</f>
        <v>-15.77711152</v>
      </c>
      <c r="D155" s="49"/>
      <c r="X155" s="13">
        <v>1</v>
      </c>
      <c r="AY155">
        <f t="shared" si="108"/>
        <v>0</v>
      </c>
      <c r="AZ155" s="5">
        <f t="shared" si="109"/>
        <v>804.6</v>
      </c>
      <c r="BA155" s="5">
        <f t="shared" si="110"/>
        <v>358603.25202561129</v>
      </c>
      <c r="BB155" s="29" t="e">
        <f t="shared" si="111"/>
        <v>#NUM!</v>
      </c>
      <c r="BC155" s="29" t="e">
        <f t="shared" si="112"/>
        <v>#NUM!</v>
      </c>
      <c r="BD155" s="29" t="e">
        <f t="shared" si="113"/>
        <v>#NUM!</v>
      </c>
      <c r="BE155" s="29">
        <f t="shared" si="114"/>
        <v>0</v>
      </c>
      <c r="BF155" s="5" t="e">
        <f t="shared" si="115"/>
        <v>#NUM!</v>
      </c>
      <c r="BG155" s="29" t="e">
        <f t="shared" si="116"/>
        <v>#NUM!</v>
      </c>
      <c r="BH155" s="29" t="e">
        <f t="shared" si="117"/>
        <v>#NUM!</v>
      </c>
      <c r="BI155" s="29">
        <f t="shared" si="118"/>
        <v>0</v>
      </c>
      <c r="BJ155" s="30" t="e">
        <f t="shared" si="119"/>
        <v>#NUM!</v>
      </c>
      <c r="BK155" s="29" t="e">
        <f t="shared" si="120"/>
        <v>#NUM!</v>
      </c>
      <c r="BL155" s="29" t="e">
        <f t="shared" si="121"/>
        <v>#NUM!</v>
      </c>
      <c r="BM155" s="29">
        <f t="shared" si="122"/>
        <v>0</v>
      </c>
      <c r="BN155" s="5" t="e">
        <f t="shared" si="123"/>
        <v>#NUM!</v>
      </c>
      <c r="BO155" s="4">
        <f t="shared" si="101"/>
        <v>8.2194749199999997</v>
      </c>
      <c r="BP155" s="4">
        <f t="shared" si="102"/>
        <v>-15.77711152</v>
      </c>
      <c r="BQ155">
        <f t="shared" si="103"/>
        <v>8.2194749199999997</v>
      </c>
      <c r="BR155">
        <f t="shared" si="104"/>
        <v>-15.77711152</v>
      </c>
      <c r="BS155">
        <f t="shared" si="106"/>
        <v>1.6706615595841093E-16</v>
      </c>
      <c r="BT155" s="4">
        <f t="shared" si="105"/>
        <v>0.29418182304666912</v>
      </c>
      <c r="BU155" s="1">
        <f t="shared" si="107"/>
        <v>1.643644148734682E-11</v>
      </c>
    </row>
    <row r="156" spans="1:73" x14ac:dyDescent="0.2">
      <c r="A156" s="31">
        <v>95</v>
      </c>
      <c r="B156" s="4">
        <f>INDEX('vapour permeability'!$A$1:$AZ$450,A156,$C$12*2-1)</f>
        <v>8.2194749199999997</v>
      </c>
      <c r="C156" s="4">
        <f>INDEX('vapour permeability'!$A$1:$AZ$450,A156,$C$12*2)</f>
        <v>-15.77711152</v>
      </c>
      <c r="D156" s="49"/>
      <c r="X156" s="13">
        <v>1</v>
      </c>
      <c r="AY156">
        <f t="shared" si="108"/>
        <v>0</v>
      </c>
      <c r="AZ156" s="5">
        <f t="shared" si="109"/>
        <v>804.6</v>
      </c>
      <c r="BA156" s="5">
        <f t="shared" si="110"/>
        <v>358603.25202561129</v>
      </c>
      <c r="BB156" s="29" t="e">
        <f t="shared" si="111"/>
        <v>#NUM!</v>
      </c>
      <c r="BC156" s="29" t="e">
        <f t="shared" si="112"/>
        <v>#NUM!</v>
      </c>
      <c r="BD156" s="29" t="e">
        <f t="shared" si="113"/>
        <v>#NUM!</v>
      </c>
      <c r="BE156" s="29">
        <f t="shared" si="114"/>
        <v>0</v>
      </c>
      <c r="BF156" s="5" t="e">
        <f t="shared" si="115"/>
        <v>#NUM!</v>
      </c>
      <c r="BG156" s="29" t="e">
        <f t="shared" si="116"/>
        <v>#NUM!</v>
      </c>
      <c r="BH156" s="29" t="e">
        <f t="shared" si="117"/>
        <v>#NUM!</v>
      </c>
      <c r="BI156" s="29">
        <f t="shared" si="118"/>
        <v>0</v>
      </c>
      <c r="BJ156" s="30" t="e">
        <f t="shared" si="119"/>
        <v>#NUM!</v>
      </c>
      <c r="BK156" s="29" t="e">
        <f t="shared" si="120"/>
        <v>#NUM!</v>
      </c>
      <c r="BL156" s="29" t="e">
        <f t="shared" si="121"/>
        <v>#NUM!</v>
      </c>
      <c r="BM156" s="29">
        <f t="shared" si="122"/>
        <v>0</v>
      </c>
      <c r="BN156" s="5" t="e">
        <f t="shared" si="123"/>
        <v>#NUM!</v>
      </c>
      <c r="BO156" s="4">
        <f t="shared" si="101"/>
        <v>8.2194749199999997</v>
      </c>
      <c r="BP156" s="4">
        <f t="shared" si="102"/>
        <v>-15.77711152</v>
      </c>
      <c r="BQ156">
        <f t="shared" si="103"/>
        <v>8.2194749199999997</v>
      </c>
      <c r="BR156">
        <f t="shared" si="104"/>
        <v>-15.77711152</v>
      </c>
      <c r="BS156">
        <f t="shared" si="106"/>
        <v>1.6706615595841093E-16</v>
      </c>
      <c r="BT156" s="4">
        <f t="shared" si="105"/>
        <v>0.29418182304666912</v>
      </c>
      <c r="BU156" s="1">
        <f t="shared" si="107"/>
        <v>1.643644148734682E-11</v>
      </c>
    </row>
    <row r="157" spans="1:73" x14ac:dyDescent="0.2">
      <c r="A157" s="31">
        <v>96</v>
      </c>
      <c r="B157" s="4">
        <f>INDEX('vapour permeability'!$A$1:$AZ$450,A157,$C$12*2-1)</f>
        <v>8.2194749199999997</v>
      </c>
      <c r="C157" s="4">
        <f>INDEX('vapour permeability'!$A$1:$AZ$450,A157,$C$12*2)</f>
        <v>-15.77711152</v>
      </c>
      <c r="D157" s="49"/>
      <c r="X157" s="13">
        <v>1</v>
      </c>
      <c r="AY157">
        <f t="shared" si="108"/>
        <v>0</v>
      </c>
      <c r="AZ157" s="5">
        <f t="shared" si="109"/>
        <v>804.6</v>
      </c>
      <c r="BA157" s="5">
        <f t="shared" si="110"/>
        <v>358603.25202561129</v>
      </c>
      <c r="BB157" s="29" t="e">
        <f t="shared" si="111"/>
        <v>#NUM!</v>
      </c>
      <c r="BC157" s="29" t="e">
        <f t="shared" si="112"/>
        <v>#NUM!</v>
      </c>
      <c r="BD157" s="29" t="e">
        <f t="shared" si="113"/>
        <v>#NUM!</v>
      </c>
      <c r="BE157" s="29">
        <f t="shared" si="114"/>
        <v>0</v>
      </c>
      <c r="BF157" s="5" t="e">
        <f t="shared" si="115"/>
        <v>#NUM!</v>
      </c>
      <c r="BG157" s="29" t="e">
        <f t="shared" si="116"/>
        <v>#NUM!</v>
      </c>
      <c r="BH157" s="29" t="e">
        <f t="shared" si="117"/>
        <v>#NUM!</v>
      </c>
      <c r="BI157" s="29">
        <f t="shared" si="118"/>
        <v>0</v>
      </c>
      <c r="BJ157" s="30" t="e">
        <f t="shared" si="119"/>
        <v>#NUM!</v>
      </c>
      <c r="BK157" s="29" t="e">
        <f t="shared" si="120"/>
        <v>#NUM!</v>
      </c>
      <c r="BL157" s="29" t="e">
        <f t="shared" si="121"/>
        <v>#NUM!</v>
      </c>
      <c r="BM157" s="29">
        <f t="shared" si="122"/>
        <v>0</v>
      </c>
      <c r="BN157" s="5" t="e">
        <f t="shared" si="123"/>
        <v>#NUM!</v>
      </c>
      <c r="BO157" s="4">
        <f t="shared" si="101"/>
        <v>8.2194749199999997</v>
      </c>
      <c r="BP157" s="4">
        <f t="shared" si="102"/>
        <v>-15.77711152</v>
      </c>
      <c r="BQ157">
        <f t="shared" si="103"/>
        <v>8.2194749199999997</v>
      </c>
      <c r="BR157">
        <f t="shared" si="104"/>
        <v>-15.77711152</v>
      </c>
      <c r="BS157">
        <f t="shared" si="106"/>
        <v>1.6706615595841093E-16</v>
      </c>
      <c r="BT157" s="4">
        <f t="shared" si="105"/>
        <v>0.29418182304666912</v>
      </c>
      <c r="BU157" s="1">
        <f t="shared" si="107"/>
        <v>1.643644148734682E-11</v>
      </c>
    </row>
    <row r="158" spans="1:73" x14ac:dyDescent="0.2">
      <c r="A158" s="31">
        <v>97</v>
      </c>
      <c r="B158" s="4">
        <f>INDEX('vapour permeability'!$A$1:$AZ$450,A158,$C$12*2-1)</f>
        <v>8.2194749199999997</v>
      </c>
      <c r="C158" s="4">
        <f>INDEX('vapour permeability'!$A$1:$AZ$450,A158,$C$12*2)</f>
        <v>-15.77711152</v>
      </c>
      <c r="D158" s="49"/>
      <c r="X158" s="13">
        <v>1</v>
      </c>
      <c r="AY158">
        <f t="shared" si="108"/>
        <v>0</v>
      </c>
      <c r="AZ158" s="5">
        <f t="shared" si="109"/>
        <v>804.6</v>
      </c>
      <c r="BA158" s="5">
        <f t="shared" si="110"/>
        <v>358603.25202561129</v>
      </c>
      <c r="BB158" s="29" t="e">
        <f t="shared" si="111"/>
        <v>#NUM!</v>
      </c>
      <c r="BC158" s="29" t="e">
        <f t="shared" si="112"/>
        <v>#NUM!</v>
      </c>
      <c r="BD158" s="29" t="e">
        <f t="shared" si="113"/>
        <v>#NUM!</v>
      </c>
      <c r="BE158" s="29">
        <f t="shared" si="114"/>
        <v>0</v>
      </c>
      <c r="BF158" s="5" t="e">
        <f t="shared" si="115"/>
        <v>#NUM!</v>
      </c>
      <c r="BG158" s="29" t="e">
        <f t="shared" si="116"/>
        <v>#NUM!</v>
      </c>
      <c r="BH158" s="29" t="e">
        <f t="shared" si="117"/>
        <v>#NUM!</v>
      </c>
      <c r="BI158" s="29">
        <f t="shared" si="118"/>
        <v>0</v>
      </c>
      <c r="BJ158" s="30" t="e">
        <f t="shared" si="119"/>
        <v>#NUM!</v>
      </c>
      <c r="BK158" s="29" t="e">
        <f t="shared" si="120"/>
        <v>#NUM!</v>
      </c>
      <c r="BL158" s="29" t="e">
        <f t="shared" si="121"/>
        <v>#NUM!</v>
      </c>
      <c r="BM158" s="29">
        <f t="shared" si="122"/>
        <v>0</v>
      </c>
      <c r="BN158" s="5" t="e">
        <f t="shared" si="123"/>
        <v>#NUM!</v>
      </c>
      <c r="BO158" s="4">
        <f t="shared" si="101"/>
        <v>8.2194749199999997</v>
      </c>
      <c r="BP158" s="4">
        <f t="shared" si="102"/>
        <v>-15.77711152</v>
      </c>
      <c r="BQ158">
        <f t="shared" si="103"/>
        <v>8.2194749199999997</v>
      </c>
      <c r="BR158">
        <f t="shared" si="104"/>
        <v>-15.77711152</v>
      </c>
      <c r="BS158">
        <f t="shared" si="106"/>
        <v>1.6706615595841093E-16</v>
      </c>
      <c r="BT158" s="4">
        <f t="shared" si="105"/>
        <v>0.29418182304666912</v>
      </c>
      <c r="BU158" s="1">
        <f t="shared" si="107"/>
        <v>1.643644148734682E-11</v>
      </c>
    </row>
    <row r="159" spans="1:73" x14ac:dyDescent="0.2">
      <c r="A159" s="31">
        <v>98</v>
      </c>
      <c r="B159" s="4">
        <f>INDEX('vapour permeability'!$A$1:$AZ$450,A159,$C$12*2-1)</f>
        <v>8.2194749199999997</v>
      </c>
      <c r="C159" s="4">
        <f>INDEX('vapour permeability'!$A$1:$AZ$450,A159,$C$12*2)</f>
        <v>-15.77711152</v>
      </c>
      <c r="D159" s="49"/>
      <c r="X159" s="13">
        <v>1</v>
      </c>
      <c r="AY159">
        <f t="shared" si="108"/>
        <v>0</v>
      </c>
      <c r="AZ159" s="5">
        <f t="shared" si="109"/>
        <v>804.6</v>
      </c>
      <c r="BA159" s="5">
        <f t="shared" si="110"/>
        <v>358603.25202561129</v>
      </c>
      <c r="BB159" s="29" t="e">
        <f t="shared" si="111"/>
        <v>#NUM!</v>
      </c>
      <c r="BC159" s="29" t="e">
        <f t="shared" si="112"/>
        <v>#NUM!</v>
      </c>
      <c r="BD159" s="29" t="e">
        <f t="shared" si="113"/>
        <v>#NUM!</v>
      </c>
      <c r="BE159" s="29">
        <f t="shared" si="114"/>
        <v>0</v>
      </c>
      <c r="BF159" s="5" t="e">
        <f t="shared" si="115"/>
        <v>#NUM!</v>
      </c>
      <c r="BG159" s="29" t="e">
        <f t="shared" si="116"/>
        <v>#NUM!</v>
      </c>
      <c r="BH159" s="29" t="e">
        <f t="shared" si="117"/>
        <v>#NUM!</v>
      </c>
      <c r="BI159" s="29">
        <f t="shared" si="118"/>
        <v>0</v>
      </c>
      <c r="BJ159" s="30" t="e">
        <f t="shared" si="119"/>
        <v>#NUM!</v>
      </c>
      <c r="BK159" s="29" t="e">
        <f t="shared" si="120"/>
        <v>#NUM!</v>
      </c>
      <c r="BL159" s="29" t="e">
        <f t="shared" si="121"/>
        <v>#NUM!</v>
      </c>
      <c r="BM159" s="29">
        <f t="shared" si="122"/>
        <v>0</v>
      </c>
      <c r="BN159" s="5" t="e">
        <f t="shared" si="123"/>
        <v>#NUM!</v>
      </c>
      <c r="BO159" s="4">
        <f t="shared" si="101"/>
        <v>8.2194749199999997</v>
      </c>
      <c r="BP159" s="4">
        <f t="shared" si="102"/>
        <v>-15.77711152</v>
      </c>
      <c r="BQ159">
        <f t="shared" si="103"/>
        <v>8.2194749199999997</v>
      </c>
      <c r="BR159">
        <f t="shared" si="104"/>
        <v>-15.77711152</v>
      </c>
      <c r="BS159">
        <f t="shared" si="106"/>
        <v>1.6706615595841093E-16</v>
      </c>
      <c r="BT159" s="4">
        <f t="shared" si="105"/>
        <v>0.29418182304666912</v>
      </c>
      <c r="BU159" s="1">
        <f t="shared" si="107"/>
        <v>1.643644148734682E-11</v>
      </c>
    </row>
    <row r="160" spans="1:73" x14ac:dyDescent="0.2">
      <c r="A160" s="31">
        <v>99</v>
      </c>
      <c r="B160" s="4">
        <f>INDEX('vapour permeability'!$A$1:$AZ$450,A160,$C$12*2-1)</f>
        <v>8.2194749199999997</v>
      </c>
      <c r="C160" s="4">
        <f>INDEX('vapour permeability'!$A$1:$AZ$450,A160,$C$12*2)</f>
        <v>-15.77711152</v>
      </c>
      <c r="D160" s="49"/>
      <c r="X160" s="13">
        <v>1</v>
      </c>
      <c r="AY160">
        <f t="shared" si="108"/>
        <v>0</v>
      </c>
      <c r="AZ160" s="5">
        <f t="shared" si="109"/>
        <v>804.6</v>
      </c>
      <c r="BA160" s="5">
        <f t="shared" si="110"/>
        <v>358603.25202561129</v>
      </c>
      <c r="BB160" s="29" t="e">
        <f t="shared" si="111"/>
        <v>#NUM!</v>
      </c>
      <c r="BC160" s="29" t="e">
        <f t="shared" si="112"/>
        <v>#NUM!</v>
      </c>
      <c r="BD160" s="29" t="e">
        <f t="shared" si="113"/>
        <v>#NUM!</v>
      </c>
      <c r="BE160" s="29">
        <f t="shared" si="114"/>
        <v>0</v>
      </c>
      <c r="BF160" s="5" t="e">
        <f t="shared" si="115"/>
        <v>#NUM!</v>
      </c>
      <c r="BG160" s="29" t="e">
        <f t="shared" si="116"/>
        <v>#NUM!</v>
      </c>
      <c r="BH160" s="29" t="e">
        <f t="shared" si="117"/>
        <v>#NUM!</v>
      </c>
      <c r="BI160" s="29">
        <f t="shared" si="118"/>
        <v>0</v>
      </c>
      <c r="BJ160" s="30" t="e">
        <f t="shared" si="119"/>
        <v>#NUM!</v>
      </c>
      <c r="BK160" s="29" t="e">
        <f t="shared" si="120"/>
        <v>#NUM!</v>
      </c>
      <c r="BL160" s="29" t="e">
        <f t="shared" si="121"/>
        <v>#NUM!</v>
      </c>
      <c r="BM160" s="29">
        <f t="shared" si="122"/>
        <v>0</v>
      </c>
      <c r="BN160" s="5" t="e">
        <f t="shared" si="123"/>
        <v>#NUM!</v>
      </c>
      <c r="BO160" s="4">
        <f t="shared" si="101"/>
        <v>8.2194749199999997</v>
      </c>
      <c r="BP160" s="4">
        <f t="shared" si="102"/>
        <v>-15.77711152</v>
      </c>
      <c r="BQ160">
        <f t="shared" si="103"/>
        <v>8.2194749199999997</v>
      </c>
      <c r="BR160">
        <f t="shared" si="104"/>
        <v>-15.77711152</v>
      </c>
      <c r="BS160">
        <f t="shared" si="106"/>
        <v>1.6706615595841093E-16</v>
      </c>
      <c r="BT160" s="4">
        <f t="shared" si="105"/>
        <v>0.29418182304666912</v>
      </c>
      <c r="BU160" s="1">
        <f t="shared" si="107"/>
        <v>1.643644148734682E-11</v>
      </c>
    </row>
    <row r="161" spans="1:73" x14ac:dyDescent="0.2">
      <c r="A161" s="31">
        <v>100</v>
      </c>
      <c r="B161" s="4">
        <f>INDEX('vapour permeability'!$A$1:$AZ$450,A161,$C$12*2-1)</f>
        <v>8.2194749199999997</v>
      </c>
      <c r="C161" s="4">
        <f>INDEX('vapour permeability'!$A$1:$AZ$450,A161,$C$12*2)</f>
        <v>-15.77711152</v>
      </c>
      <c r="D161" s="49"/>
      <c r="X161" s="13">
        <v>1</v>
      </c>
      <c r="AY161">
        <f t="shared" si="108"/>
        <v>0</v>
      </c>
      <c r="AZ161" s="5">
        <f t="shared" si="109"/>
        <v>804.6</v>
      </c>
      <c r="BA161" s="5">
        <f t="shared" si="110"/>
        <v>358603.25202561129</v>
      </c>
      <c r="BB161" s="29" t="e">
        <f t="shared" si="111"/>
        <v>#NUM!</v>
      </c>
      <c r="BC161" s="29" t="e">
        <f t="shared" si="112"/>
        <v>#NUM!</v>
      </c>
      <c r="BD161" s="29" t="e">
        <f t="shared" si="113"/>
        <v>#NUM!</v>
      </c>
      <c r="BE161" s="29">
        <f t="shared" si="114"/>
        <v>0</v>
      </c>
      <c r="BF161" s="5" t="e">
        <f t="shared" si="115"/>
        <v>#NUM!</v>
      </c>
      <c r="BG161" s="29" t="e">
        <f t="shared" si="116"/>
        <v>#NUM!</v>
      </c>
      <c r="BH161" s="29" t="e">
        <f t="shared" si="117"/>
        <v>#NUM!</v>
      </c>
      <c r="BI161" s="29">
        <f t="shared" si="118"/>
        <v>0</v>
      </c>
      <c r="BJ161" s="30" t="e">
        <f t="shared" si="119"/>
        <v>#NUM!</v>
      </c>
      <c r="BK161" s="29" t="e">
        <f t="shared" si="120"/>
        <v>#NUM!</v>
      </c>
      <c r="BL161" s="29" t="e">
        <f t="shared" si="121"/>
        <v>#NUM!</v>
      </c>
      <c r="BM161" s="29">
        <f t="shared" si="122"/>
        <v>0</v>
      </c>
      <c r="BN161" s="5" t="e">
        <f t="shared" si="123"/>
        <v>#NUM!</v>
      </c>
      <c r="BO161" s="4">
        <f t="shared" si="101"/>
        <v>8.2194749199999997</v>
      </c>
      <c r="BP161" s="4">
        <f t="shared" si="102"/>
        <v>-15.77711152</v>
      </c>
      <c r="BQ161">
        <f t="shared" si="103"/>
        <v>8.2194749199999997</v>
      </c>
      <c r="BR161">
        <f t="shared" si="104"/>
        <v>-15.77711152</v>
      </c>
      <c r="BS161">
        <f t="shared" si="106"/>
        <v>1.6706615595841093E-16</v>
      </c>
      <c r="BT161" s="4">
        <f t="shared" si="105"/>
        <v>0.29418182304666912</v>
      </c>
      <c r="BU161" s="1">
        <f t="shared" si="107"/>
        <v>1.643644148734682E-11</v>
      </c>
    </row>
    <row r="162" spans="1:73" x14ac:dyDescent="0.2">
      <c r="A162" s="31">
        <v>101</v>
      </c>
      <c r="B162" s="4">
        <f>INDEX('vapour permeability'!$A$1:$AZ$450,A162,$C$12*2-1)</f>
        <v>8.2194749199999997</v>
      </c>
      <c r="C162" s="4">
        <f>INDEX('vapour permeability'!$A$1:$AZ$450,A162,$C$12*2)</f>
        <v>-15.77711152</v>
      </c>
      <c r="D162" s="49"/>
      <c r="X162" s="13">
        <v>1</v>
      </c>
      <c r="AY162">
        <f t="shared" si="108"/>
        <v>0</v>
      </c>
      <c r="AZ162" s="5">
        <f t="shared" si="109"/>
        <v>804.6</v>
      </c>
      <c r="BA162" s="5">
        <f t="shared" si="110"/>
        <v>358603.25202561129</v>
      </c>
      <c r="BB162" s="29" t="e">
        <f t="shared" si="111"/>
        <v>#NUM!</v>
      </c>
      <c r="BC162" s="29" t="e">
        <f t="shared" si="112"/>
        <v>#NUM!</v>
      </c>
      <c r="BD162" s="29" t="e">
        <f t="shared" si="113"/>
        <v>#NUM!</v>
      </c>
      <c r="BE162" s="29">
        <f t="shared" si="114"/>
        <v>0</v>
      </c>
      <c r="BF162" s="5" t="e">
        <f t="shared" si="115"/>
        <v>#NUM!</v>
      </c>
      <c r="BG162" s="29" t="e">
        <f t="shared" si="116"/>
        <v>#NUM!</v>
      </c>
      <c r="BH162" s="29" t="e">
        <f t="shared" si="117"/>
        <v>#NUM!</v>
      </c>
      <c r="BI162" s="29">
        <f t="shared" si="118"/>
        <v>0</v>
      </c>
      <c r="BJ162" s="30" t="e">
        <f t="shared" si="119"/>
        <v>#NUM!</v>
      </c>
      <c r="BK162" s="29" t="e">
        <f t="shared" si="120"/>
        <v>#NUM!</v>
      </c>
      <c r="BL162" s="29" t="e">
        <f t="shared" si="121"/>
        <v>#NUM!</v>
      </c>
      <c r="BM162" s="29">
        <f t="shared" si="122"/>
        <v>0</v>
      </c>
      <c r="BN162" s="5" t="e">
        <f t="shared" si="123"/>
        <v>#NUM!</v>
      </c>
      <c r="BO162" s="4">
        <f t="shared" si="101"/>
        <v>8.2194749199999997</v>
      </c>
      <c r="BP162" s="4">
        <f t="shared" si="102"/>
        <v>-15.77711152</v>
      </c>
      <c r="BQ162">
        <f t="shared" si="103"/>
        <v>8.2194749199999997</v>
      </c>
      <c r="BR162">
        <f t="shared" si="104"/>
        <v>-15.77711152</v>
      </c>
      <c r="BS162">
        <f t="shared" si="106"/>
        <v>1.6706615595841093E-16</v>
      </c>
      <c r="BT162" s="4">
        <f t="shared" si="105"/>
        <v>0.29418182304666912</v>
      </c>
      <c r="BU162" s="1">
        <f t="shared" si="107"/>
        <v>1.643644148734682E-11</v>
      </c>
    </row>
    <row r="163" spans="1:73" x14ac:dyDescent="0.2">
      <c r="A163" s="31">
        <v>102</v>
      </c>
      <c r="B163" s="4">
        <f>INDEX('vapour permeability'!$A$1:$AZ$450,A163,$C$12*2-1)</f>
        <v>8.2194749199999997</v>
      </c>
      <c r="C163" s="4">
        <f>INDEX('vapour permeability'!$A$1:$AZ$450,A163,$C$12*2)</f>
        <v>-15.77711152</v>
      </c>
      <c r="D163" s="49"/>
      <c r="X163" s="13">
        <v>1</v>
      </c>
      <c r="AY163">
        <f t="shared" si="108"/>
        <v>0</v>
      </c>
      <c r="AZ163" s="5">
        <f t="shared" si="109"/>
        <v>804.6</v>
      </c>
      <c r="BA163" s="5">
        <f t="shared" si="110"/>
        <v>358603.25202561129</v>
      </c>
      <c r="BB163" s="29" t="e">
        <f t="shared" si="111"/>
        <v>#NUM!</v>
      </c>
      <c r="BC163" s="29" t="e">
        <f t="shared" si="112"/>
        <v>#NUM!</v>
      </c>
      <c r="BD163" s="29" t="e">
        <f t="shared" si="113"/>
        <v>#NUM!</v>
      </c>
      <c r="BE163" s="29">
        <f t="shared" si="114"/>
        <v>0</v>
      </c>
      <c r="BF163" s="5" t="e">
        <f t="shared" si="115"/>
        <v>#NUM!</v>
      </c>
      <c r="BG163" s="29" t="e">
        <f t="shared" si="116"/>
        <v>#NUM!</v>
      </c>
      <c r="BH163" s="29" t="e">
        <f t="shared" si="117"/>
        <v>#NUM!</v>
      </c>
      <c r="BI163" s="29">
        <f t="shared" si="118"/>
        <v>0</v>
      </c>
      <c r="BJ163" s="30" t="e">
        <f t="shared" si="119"/>
        <v>#NUM!</v>
      </c>
      <c r="BK163" s="29" t="e">
        <f t="shared" si="120"/>
        <v>#NUM!</v>
      </c>
      <c r="BL163" s="29" t="e">
        <f t="shared" si="121"/>
        <v>#NUM!</v>
      </c>
      <c r="BM163" s="29">
        <f t="shared" si="122"/>
        <v>0</v>
      </c>
      <c r="BN163" s="5" t="e">
        <f t="shared" si="123"/>
        <v>#NUM!</v>
      </c>
      <c r="BO163" s="4">
        <f t="shared" si="101"/>
        <v>8.2194749199999997</v>
      </c>
      <c r="BP163" s="4">
        <f t="shared" si="102"/>
        <v>-15.77711152</v>
      </c>
      <c r="BQ163">
        <f t="shared" si="103"/>
        <v>8.2194749199999997</v>
      </c>
      <c r="BR163">
        <f t="shared" si="104"/>
        <v>-15.77711152</v>
      </c>
      <c r="BS163">
        <f t="shared" si="106"/>
        <v>1.6706615595841093E-16</v>
      </c>
      <c r="BT163" s="4">
        <f t="shared" si="105"/>
        <v>0.29418182304666912</v>
      </c>
      <c r="BU163" s="1">
        <f t="shared" si="107"/>
        <v>1.643644148734682E-11</v>
      </c>
    </row>
    <row r="164" spans="1:73" x14ac:dyDescent="0.2">
      <c r="A164" s="31">
        <v>103</v>
      </c>
      <c r="B164" s="4">
        <f>INDEX('vapour permeability'!$A$1:$AZ$450,A164,$C$12*2-1)</f>
        <v>8.2194749199999997</v>
      </c>
      <c r="C164" s="4">
        <f>INDEX('vapour permeability'!$A$1:$AZ$450,A164,$C$12*2)</f>
        <v>-15.77711152</v>
      </c>
      <c r="D164" s="49"/>
      <c r="X164" s="13">
        <v>1</v>
      </c>
      <c r="AY164">
        <f t="shared" si="108"/>
        <v>0</v>
      </c>
      <c r="AZ164" s="5">
        <f t="shared" si="109"/>
        <v>804.6</v>
      </c>
      <c r="BA164" s="5">
        <f t="shared" si="110"/>
        <v>358603.25202561129</v>
      </c>
      <c r="BB164" s="29" t="e">
        <f t="shared" si="111"/>
        <v>#NUM!</v>
      </c>
      <c r="BC164" s="29" t="e">
        <f t="shared" si="112"/>
        <v>#NUM!</v>
      </c>
      <c r="BD164" s="29" t="e">
        <f t="shared" si="113"/>
        <v>#NUM!</v>
      </c>
      <c r="BE164" s="29">
        <f t="shared" si="114"/>
        <v>0</v>
      </c>
      <c r="BF164" s="5" t="e">
        <f t="shared" si="115"/>
        <v>#NUM!</v>
      </c>
      <c r="BG164" s="29" t="e">
        <f t="shared" si="116"/>
        <v>#NUM!</v>
      </c>
      <c r="BH164" s="29" t="e">
        <f t="shared" si="117"/>
        <v>#NUM!</v>
      </c>
      <c r="BI164" s="29">
        <f t="shared" si="118"/>
        <v>0</v>
      </c>
      <c r="BJ164" s="30" t="e">
        <f t="shared" si="119"/>
        <v>#NUM!</v>
      </c>
      <c r="BK164" s="29" t="e">
        <f t="shared" si="120"/>
        <v>#NUM!</v>
      </c>
      <c r="BL164" s="29" t="e">
        <f t="shared" si="121"/>
        <v>#NUM!</v>
      </c>
      <c r="BM164" s="29">
        <f t="shared" si="122"/>
        <v>0</v>
      </c>
      <c r="BN164" s="5" t="e">
        <f t="shared" si="123"/>
        <v>#NUM!</v>
      </c>
      <c r="BO164" s="4">
        <f t="shared" si="101"/>
        <v>8.2194749199999997</v>
      </c>
      <c r="BP164" s="4">
        <f t="shared" si="102"/>
        <v>-15.77711152</v>
      </c>
      <c r="BQ164">
        <f t="shared" si="103"/>
        <v>8.2194749199999997</v>
      </c>
      <c r="BR164">
        <f t="shared" si="104"/>
        <v>-15.77711152</v>
      </c>
      <c r="BS164">
        <f t="shared" si="106"/>
        <v>1.6706615595841093E-16</v>
      </c>
      <c r="BT164" s="4">
        <f t="shared" si="105"/>
        <v>0.29418182304666912</v>
      </c>
      <c r="BU164" s="1">
        <f t="shared" si="107"/>
        <v>1.643644148734682E-11</v>
      </c>
    </row>
    <row r="165" spans="1:73" x14ac:dyDescent="0.2">
      <c r="A165" s="31">
        <v>104</v>
      </c>
      <c r="B165" s="4">
        <f>INDEX('vapour permeability'!$A$1:$AZ$450,A165,$C$12*2-1)</f>
        <v>8.2194749199999997</v>
      </c>
      <c r="C165" s="4">
        <f>INDEX('vapour permeability'!$A$1:$AZ$450,A165,$C$12*2)</f>
        <v>-15.77711152</v>
      </c>
      <c r="D165" s="49"/>
      <c r="X165" s="13">
        <v>1</v>
      </c>
      <c r="AY165">
        <f t="shared" si="108"/>
        <v>0</v>
      </c>
      <c r="AZ165" s="5">
        <f t="shared" si="109"/>
        <v>804.6</v>
      </c>
      <c r="BA165" s="5">
        <f t="shared" si="110"/>
        <v>358603.25202561129</v>
      </c>
      <c r="BB165" s="29" t="e">
        <f t="shared" si="111"/>
        <v>#NUM!</v>
      </c>
      <c r="BC165" s="29" t="e">
        <f t="shared" si="112"/>
        <v>#NUM!</v>
      </c>
      <c r="BD165" s="29" t="e">
        <f t="shared" si="113"/>
        <v>#NUM!</v>
      </c>
      <c r="BE165" s="29">
        <f t="shared" si="114"/>
        <v>0</v>
      </c>
      <c r="BF165" s="5" t="e">
        <f t="shared" si="115"/>
        <v>#NUM!</v>
      </c>
      <c r="BG165" s="29" t="e">
        <f t="shared" si="116"/>
        <v>#NUM!</v>
      </c>
      <c r="BH165" s="29" t="e">
        <f t="shared" si="117"/>
        <v>#NUM!</v>
      </c>
      <c r="BI165" s="29">
        <f t="shared" si="118"/>
        <v>0</v>
      </c>
      <c r="BJ165" s="30" t="e">
        <f t="shared" si="119"/>
        <v>#NUM!</v>
      </c>
      <c r="BK165" s="29" t="e">
        <f t="shared" si="120"/>
        <v>#NUM!</v>
      </c>
      <c r="BL165" s="29" t="e">
        <f t="shared" si="121"/>
        <v>#NUM!</v>
      </c>
      <c r="BM165" s="29">
        <f t="shared" si="122"/>
        <v>0</v>
      </c>
      <c r="BN165" s="5" t="e">
        <f t="shared" si="123"/>
        <v>#NUM!</v>
      </c>
      <c r="BO165" s="4">
        <f t="shared" si="101"/>
        <v>8.2194749199999997</v>
      </c>
      <c r="BP165" s="4">
        <f t="shared" si="102"/>
        <v>-15.77711152</v>
      </c>
      <c r="BQ165">
        <f t="shared" si="103"/>
        <v>8.2194749199999997</v>
      </c>
      <c r="BR165">
        <f t="shared" si="104"/>
        <v>-15.77711152</v>
      </c>
      <c r="BS165">
        <f t="shared" si="106"/>
        <v>1.6706615595841093E-16</v>
      </c>
      <c r="BT165" s="4">
        <f t="shared" si="105"/>
        <v>0.29418182304666912</v>
      </c>
      <c r="BU165" s="1">
        <f t="shared" si="107"/>
        <v>1.643644148734682E-11</v>
      </c>
    </row>
    <row r="166" spans="1:73" x14ac:dyDescent="0.2">
      <c r="A166" s="31">
        <v>105</v>
      </c>
      <c r="B166" s="4">
        <f>INDEX('vapour permeability'!$A$1:$AZ$450,A166,$C$12*2-1)</f>
        <v>8.2194749199999997</v>
      </c>
      <c r="C166" s="4">
        <f>INDEX('vapour permeability'!$A$1:$AZ$450,A166,$C$12*2)</f>
        <v>-15.77711152</v>
      </c>
      <c r="D166" s="49"/>
      <c r="X166" s="13">
        <v>1</v>
      </c>
      <c r="AY166">
        <f t="shared" si="108"/>
        <v>0</v>
      </c>
      <c r="AZ166" s="5">
        <f t="shared" si="109"/>
        <v>804.6</v>
      </c>
      <c r="BA166" s="5">
        <f t="shared" si="110"/>
        <v>358603.25202561129</v>
      </c>
      <c r="BB166" s="29" t="e">
        <f t="shared" si="111"/>
        <v>#NUM!</v>
      </c>
      <c r="BC166" s="29" t="e">
        <f t="shared" si="112"/>
        <v>#NUM!</v>
      </c>
      <c r="BD166" s="29" t="e">
        <f t="shared" si="113"/>
        <v>#NUM!</v>
      </c>
      <c r="BE166" s="29">
        <f t="shared" si="114"/>
        <v>0</v>
      </c>
      <c r="BF166" s="5" t="e">
        <f t="shared" si="115"/>
        <v>#NUM!</v>
      </c>
      <c r="BG166" s="29" t="e">
        <f t="shared" si="116"/>
        <v>#NUM!</v>
      </c>
      <c r="BH166" s="29" t="e">
        <f t="shared" si="117"/>
        <v>#NUM!</v>
      </c>
      <c r="BI166" s="29">
        <f t="shared" si="118"/>
        <v>0</v>
      </c>
      <c r="BJ166" s="30" t="e">
        <f t="shared" si="119"/>
        <v>#NUM!</v>
      </c>
      <c r="BK166" s="29" t="e">
        <f t="shared" si="120"/>
        <v>#NUM!</v>
      </c>
      <c r="BL166" s="29" t="e">
        <f t="shared" si="121"/>
        <v>#NUM!</v>
      </c>
      <c r="BM166" s="29">
        <f t="shared" si="122"/>
        <v>0</v>
      </c>
      <c r="BN166" s="5" t="e">
        <f t="shared" si="123"/>
        <v>#NUM!</v>
      </c>
      <c r="BO166" s="4">
        <f t="shared" si="101"/>
        <v>8.2194749199999997</v>
      </c>
      <c r="BP166" s="4">
        <f t="shared" si="102"/>
        <v>-15.77711152</v>
      </c>
      <c r="BQ166">
        <f t="shared" si="103"/>
        <v>8.2194749199999997</v>
      </c>
      <c r="BR166">
        <f t="shared" si="104"/>
        <v>-15.77711152</v>
      </c>
      <c r="BS166">
        <f t="shared" si="106"/>
        <v>1.6706615595841093E-16</v>
      </c>
      <c r="BT166" s="4">
        <f t="shared" si="105"/>
        <v>0.29418182304666912</v>
      </c>
      <c r="BU166" s="1">
        <f t="shared" si="107"/>
        <v>1.643644148734682E-11</v>
      </c>
    </row>
    <row r="167" spans="1:73" x14ac:dyDescent="0.2">
      <c r="A167" s="31">
        <v>106</v>
      </c>
      <c r="B167" s="4">
        <f>INDEX('vapour permeability'!$A$1:$AZ$450,A167,$C$12*2-1)</f>
        <v>8.2194749199999997</v>
      </c>
      <c r="C167" s="4">
        <f>INDEX('vapour permeability'!$A$1:$AZ$450,A167,$C$12*2)</f>
        <v>-15.77711152</v>
      </c>
      <c r="D167" s="49"/>
      <c r="X167" s="13">
        <v>1</v>
      </c>
      <c r="AY167">
        <f t="shared" si="108"/>
        <v>0</v>
      </c>
      <c r="AZ167" s="5">
        <f t="shared" si="109"/>
        <v>804.6</v>
      </c>
      <c r="BA167" s="5">
        <f t="shared" si="110"/>
        <v>358603.25202561129</v>
      </c>
      <c r="BB167" s="29" t="e">
        <f t="shared" si="111"/>
        <v>#NUM!</v>
      </c>
      <c r="BC167" s="29" t="e">
        <f t="shared" si="112"/>
        <v>#NUM!</v>
      </c>
      <c r="BD167" s="29" t="e">
        <f t="shared" si="113"/>
        <v>#NUM!</v>
      </c>
      <c r="BE167" s="29">
        <f t="shared" si="114"/>
        <v>0</v>
      </c>
      <c r="BF167" s="5" t="e">
        <f t="shared" si="115"/>
        <v>#NUM!</v>
      </c>
      <c r="BG167" s="29" t="e">
        <f t="shared" si="116"/>
        <v>#NUM!</v>
      </c>
      <c r="BH167" s="29" t="e">
        <f t="shared" si="117"/>
        <v>#NUM!</v>
      </c>
      <c r="BI167" s="29">
        <f t="shared" si="118"/>
        <v>0</v>
      </c>
      <c r="BJ167" s="30" t="e">
        <f t="shared" si="119"/>
        <v>#NUM!</v>
      </c>
      <c r="BK167" s="29" t="e">
        <f t="shared" si="120"/>
        <v>#NUM!</v>
      </c>
      <c r="BL167" s="29" t="e">
        <f t="shared" si="121"/>
        <v>#NUM!</v>
      </c>
      <c r="BM167" s="29">
        <f t="shared" si="122"/>
        <v>0</v>
      </c>
      <c r="BN167" s="5" t="e">
        <f t="shared" si="123"/>
        <v>#NUM!</v>
      </c>
      <c r="BO167" s="4">
        <f t="shared" ref="BO167:BO198" si="124">B224</f>
        <v>8.2194749199999997</v>
      </c>
      <c r="BP167" s="4">
        <f t="shared" ref="BP167:BP198" si="125">C224</f>
        <v>-15.77711152</v>
      </c>
      <c r="BQ167">
        <f t="shared" ref="BQ167:BQ198" si="126">IF(C$48=4,BO167,Z167)</f>
        <v>8.2194749199999997</v>
      </c>
      <c r="BR167">
        <f t="shared" ref="BR167:BR198" si="127">IF(C$48=1,AY167,IF(C$48=2,BA167,IF(C$48=3,BN167,BP167)))</f>
        <v>-15.77711152</v>
      </c>
      <c r="BS167">
        <f t="shared" si="106"/>
        <v>1.6706615595841093E-16</v>
      </c>
      <c r="BT167" s="4">
        <f t="shared" ref="BT167:BT198" si="128">IF(C$48=4,EXP(-(10^BQ167)/(($C$9+273.3)*$C$10*$C$11)),X167)</f>
        <v>0.29418182304666912</v>
      </c>
      <c r="BU167" s="1">
        <f t="shared" si="107"/>
        <v>1.643644148734682E-11</v>
      </c>
    </row>
    <row r="168" spans="1:73" x14ac:dyDescent="0.2">
      <c r="A168" s="31">
        <v>107</v>
      </c>
      <c r="B168" s="4">
        <f>INDEX('vapour permeability'!$A$1:$AZ$450,A168,$C$12*2-1)</f>
        <v>8.2194749199999997</v>
      </c>
      <c r="C168" s="4">
        <f>INDEX('vapour permeability'!$A$1:$AZ$450,A168,$C$12*2)</f>
        <v>-15.77711152</v>
      </c>
      <c r="D168" s="49"/>
      <c r="X168" s="13">
        <v>1</v>
      </c>
      <c r="AY168">
        <f t="shared" si="108"/>
        <v>0</v>
      </c>
      <c r="AZ168" s="5">
        <f t="shared" si="109"/>
        <v>804.6</v>
      </c>
      <c r="BA168" s="5">
        <f t="shared" si="110"/>
        <v>358603.25202561129</v>
      </c>
      <c r="BB168" s="29" t="e">
        <f t="shared" si="111"/>
        <v>#NUM!</v>
      </c>
      <c r="BC168" s="29" t="e">
        <f t="shared" si="112"/>
        <v>#NUM!</v>
      </c>
      <c r="BD168" s="29" t="e">
        <f t="shared" si="113"/>
        <v>#NUM!</v>
      </c>
      <c r="BE168" s="29">
        <f t="shared" si="114"/>
        <v>0</v>
      </c>
      <c r="BF168" s="5" t="e">
        <f t="shared" si="115"/>
        <v>#NUM!</v>
      </c>
      <c r="BG168" s="29" t="e">
        <f t="shared" si="116"/>
        <v>#NUM!</v>
      </c>
      <c r="BH168" s="29" t="e">
        <f t="shared" si="117"/>
        <v>#NUM!</v>
      </c>
      <c r="BI168" s="29">
        <f t="shared" si="118"/>
        <v>0</v>
      </c>
      <c r="BJ168" s="30" t="e">
        <f t="shared" si="119"/>
        <v>#NUM!</v>
      </c>
      <c r="BK168" s="29" t="e">
        <f t="shared" si="120"/>
        <v>#NUM!</v>
      </c>
      <c r="BL168" s="29" t="e">
        <f t="shared" si="121"/>
        <v>#NUM!</v>
      </c>
      <c r="BM168" s="29">
        <f t="shared" si="122"/>
        <v>0</v>
      </c>
      <c r="BN168" s="5" t="e">
        <f t="shared" si="123"/>
        <v>#NUM!</v>
      </c>
      <c r="BO168" s="4">
        <f t="shared" si="124"/>
        <v>8.2194749199999997</v>
      </c>
      <c r="BP168" s="4">
        <f t="shared" si="125"/>
        <v>-15.77711152</v>
      </c>
      <c r="BQ168">
        <f t="shared" si="126"/>
        <v>8.2194749199999997</v>
      </c>
      <c r="BR168">
        <f t="shared" si="127"/>
        <v>-15.77711152</v>
      </c>
      <c r="BS168">
        <f t="shared" si="106"/>
        <v>1.6706615595841093E-16</v>
      </c>
      <c r="BT168" s="4">
        <f t="shared" si="128"/>
        <v>0.29418182304666912</v>
      </c>
      <c r="BU168" s="1">
        <f t="shared" si="107"/>
        <v>1.643644148734682E-11</v>
      </c>
    </row>
    <row r="169" spans="1:73" x14ac:dyDescent="0.2">
      <c r="A169" s="31">
        <v>108</v>
      </c>
      <c r="B169" s="4">
        <f>INDEX('vapour permeability'!$A$1:$AZ$450,A169,$C$12*2-1)</f>
        <v>8.2194749199999997</v>
      </c>
      <c r="C169" s="4">
        <f>INDEX('vapour permeability'!$A$1:$AZ$450,A169,$C$12*2)</f>
        <v>-15.77711152</v>
      </c>
      <c r="D169" s="49"/>
      <c r="X169" s="13">
        <v>1</v>
      </c>
      <c r="AY169">
        <f t="shared" si="108"/>
        <v>0</v>
      </c>
      <c r="AZ169" s="5">
        <f t="shared" si="109"/>
        <v>804.6</v>
      </c>
      <c r="BA169" s="5">
        <f t="shared" si="110"/>
        <v>358603.25202561129</v>
      </c>
      <c r="BB169" s="29" t="e">
        <f t="shared" si="111"/>
        <v>#NUM!</v>
      </c>
      <c r="BC169" s="29" t="e">
        <f t="shared" si="112"/>
        <v>#NUM!</v>
      </c>
      <c r="BD169" s="29" t="e">
        <f t="shared" si="113"/>
        <v>#NUM!</v>
      </c>
      <c r="BE169" s="29">
        <f t="shared" si="114"/>
        <v>0</v>
      </c>
      <c r="BF169" s="5" t="e">
        <f t="shared" si="115"/>
        <v>#NUM!</v>
      </c>
      <c r="BG169" s="29" t="e">
        <f t="shared" si="116"/>
        <v>#NUM!</v>
      </c>
      <c r="BH169" s="29" t="e">
        <f t="shared" si="117"/>
        <v>#NUM!</v>
      </c>
      <c r="BI169" s="29">
        <f t="shared" si="118"/>
        <v>0</v>
      </c>
      <c r="BJ169" s="30" t="e">
        <f t="shared" si="119"/>
        <v>#NUM!</v>
      </c>
      <c r="BK169" s="29" t="e">
        <f t="shared" si="120"/>
        <v>#NUM!</v>
      </c>
      <c r="BL169" s="29" t="e">
        <f t="shared" si="121"/>
        <v>#NUM!</v>
      </c>
      <c r="BM169" s="29">
        <f t="shared" si="122"/>
        <v>0</v>
      </c>
      <c r="BN169" s="5" t="e">
        <f t="shared" si="123"/>
        <v>#NUM!</v>
      </c>
      <c r="BO169" s="4">
        <f t="shared" si="124"/>
        <v>8.2194749199999997</v>
      </c>
      <c r="BP169" s="4">
        <f t="shared" si="125"/>
        <v>-15.77711152</v>
      </c>
      <c r="BQ169">
        <f t="shared" si="126"/>
        <v>8.2194749199999997</v>
      </c>
      <c r="BR169">
        <f t="shared" si="127"/>
        <v>-15.77711152</v>
      </c>
      <c r="BS169">
        <f t="shared" si="106"/>
        <v>1.6706615595841093E-16</v>
      </c>
      <c r="BT169" s="4">
        <f t="shared" si="128"/>
        <v>0.29418182304666912</v>
      </c>
      <c r="BU169" s="1">
        <f t="shared" si="107"/>
        <v>1.643644148734682E-11</v>
      </c>
    </row>
    <row r="170" spans="1:73" x14ac:dyDescent="0.2">
      <c r="A170" s="31">
        <v>109</v>
      </c>
      <c r="B170" s="4">
        <f>INDEX('vapour permeability'!$A$1:$AZ$450,A170,$C$12*2-1)</f>
        <v>8.2194749199999997</v>
      </c>
      <c r="C170" s="4">
        <f>INDEX('vapour permeability'!$A$1:$AZ$450,A170,$C$12*2)</f>
        <v>-15.77711152</v>
      </c>
      <c r="D170" s="49"/>
      <c r="X170" s="13">
        <v>1</v>
      </c>
      <c r="AY170">
        <f t="shared" si="108"/>
        <v>0</v>
      </c>
      <c r="AZ170" s="5">
        <f t="shared" si="109"/>
        <v>804.6</v>
      </c>
      <c r="BA170" s="5">
        <f t="shared" si="110"/>
        <v>358603.25202561129</v>
      </c>
      <c r="BB170" s="29" t="e">
        <f t="shared" si="111"/>
        <v>#NUM!</v>
      </c>
      <c r="BC170" s="29" t="e">
        <f t="shared" si="112"/>
        <v>#NUM!</v>
      </c>
      <c r="BD170" s="29" t="e">
        <f t="shared" si="113"/>
        <v>#NUM!</v>
      </c>
      <c r="BE170" s="29">
        <f t="shared" si="114"/>
        <v>0</v>
      </c>
      <c r="BF170" s="5" t="e">
        <f t="shared" si="115"/>
        <v>#NUM!</v>
      </c>
      <c r="BG170" s="29" t="e">
        <f t="shared" si="116"/>
        <v>#NUM!</v>
      </c>
      <c r="BH170" s="29" t="e">
        <f t="shared" si="117"/>
        <v>#NUM!</v>
      </c>
      <c r="BI170" s="29">
        <f t="shared" si="118"/>
        <v>0</v>
      </c>
      <c r="BJ170" s="30" t="e">
        <f t="shared" si="119"/>
        <v>#NUM!</v>
      </c>
      <c r="BK170" s="29" t="e">
        <f t="shared" si="120"/>
        <v>#NUM!</v>
      </c>
      <c r="BL170" s="29" t="e">
        <f t="shared" si="121"/>
        <v>#NUM!</v>
      </c>
      <c r="BM170" s="29">
        <f t="shared" si="122"/>
        <v>0</v>
      </c>
      <c r="BN170" s="5" t="e">
        <f t="shared" si="123"/>
        <v>#NUM!</v>
      </c>
      <c r="BO170" s="4">
        <f t="shared" si="124"/>
        <v>8.2194749199999997</v>
      </c>
      <c r="BP170" s="4">
        <f t="shared" si="125"/>
        <v>-15.77711152</v>
      </c>
      <c r="BQ170">
        <f t="shared" si="126"/>
        <v>8.2194749199999997</v>
      </c>
      <c r="BR170">
        <f t="shared" si="127"/>
        <v>-15.77711152</v>
      </c>
      <c r="BS170">
        <f t="shared" si="106"/>
        <v>1.6706615595841093E-16</v>
      </c>
      <c r="BT170" s="4">
        <f t="shared" si="128"/>
        <v>0.29418182304666912</v>
      </c>
      <c r="BU170" s="1">
        <f t="shared" si="107"/>
        <v>1.643644148734682E-11</v>
      </c>
    </row>
    <row r="171" spans="1:73" x14ac:dyDescent="0.2">
      <c r="A171" s="31">
        <v>110</v>
      </c>
      <c r="B171" s="4">
        <f>INDEX('vapour permeability'!$A$1:$AZ$450,A171,$C$12*2-1)</f>
        <v>8.2194749199999997</v>
      </c>
      <c r="C171" s="4">
        <f>INDEX('vapour permeability'!$A$1:$AZ$450,A171,$C$12*2)</f>
        <v>-15.77711152</v>
      </c>
      <c r="D171" s="49"/>
      <c r="X171" s="13">
        <v>1</v>
      </c>
      <c r="AY171">
        <f t="shared" si="108"/>
        <v>0</v>
      </c>
      <c r="AZ171" s="5">
        <f t="shared" si="109"/>
        <v>804.6</v>
      </c>
      <c r="BA171" s="5">
        <f t="shared" si="110"/>
        <v>358603.25202561129</v>
      </c>
      <c r="BB171" s="29" t="e">
        <f t="shared" si="111"/>
        <v>#NUM!</v>
      </c>
      <c r="BC171" s="29" t="e">
        <f t="shared" si="112"/>
        <v>#NUM!</v>
      </c>
      <c r="BD171" s="29" t="e">
        <f t="shared" si="113"/>
        <v>#NUM!</v>
      </c>
      <c r="BE171" s="29">
        <f t="shared" si="114"/>
        <v>0</v>
      </c>
      <c r="BF171" s="5" t="e">
        <f t="shared" si="115"/>
        <v>#NUM!</v>
      </c>
      <c r="BG171" s="29" t="e">
        <f t="shared" si="116"/>
        <v>#NUM!</v>
      </c>
      <c r="BH171" s="29" t="e">
        <f t="shared" si="117"/>
        <v>#NUM!</v>
      </c>
      <c r="BI171" s="29">
        <f t="shared" si="118"/>
        <v>0</v>
      </c>
      <c r="BJ171" s="30" t="e">
        <f t="shared" si="119"/>
        <v>#NUM!</v>
      </c>
      <c r="BK171" s="29" t="e">
        <f t="shared" si="120"/>
        <v>#NUM!</v>
      </c>
      <c r="BL171" s="29" t="e">
        <f t="shared" si="121"/>
        <v>#NUM!</v>
      </c>
      <c r="BM171" s="29">
        <f t="shared" si="122"/>
        <v>0</v>
      </c>
      <c r="BN171" s="5" t="e">
        <f t="shared" si="123"/>
        <v>#NUM!</v>
      </c>
      <c r="BO171" s="4">
        <f t="shared" si="124"/>
        <v>8.2194749199999997</v>
      </c>
      <c r="BP171" s="4">
        <f t="shared" si="125"/>
        <v>-15.77711152</v>
      </c>
      <c r="BQ171">
        <f t="shared" si="126"/>
        <v>8.2194749199999997</v>
      </c>
      <c r="BR171">
        <f t="shared" si="127"/>
        <v>-15.77711152</v>
      </c>
      <c r="BS171">
        <f t="shared" si="106"/>
        <v>1.6706615595841093E-16</v>
      </c>
      <c r="BT171" s="4">
        <f t="shared" si="128"/>
        <v>0.29418182304666912</v>
      </c>
      <c r="BU171" s="1">
        <f t="shared" si="107"/>
        <v>1.643644148734682E-11</v>
      </c>
    </row>
    <row r="172" spans="1:73" x14ac:dyDescent="0.2">
      <c r="A172" s="31">
        <v>111</v>
      </c>
      <c r="B172" s="4">
        <f>INDEX('vapour permeability'!$A$1:$AZ$450,A172,$C$12*2-1)</f>
        <v>8.2194749199999997</v>
      </c>
      <c r="C172" s="4">
        <f>INDEX('vapour permeability'!$A$1:$AZ$450,A172,$C$12*2)</f>
        <v>-15.77711152</v>
      </c>
      <c r="D172" s="49"/>
      <c r="X172" s="13">
        <v>1</v>
      </c>
      <c r="AY172">
        <f t="shared" si="108"/>
        <v>0</v>
      </c>
      <c r="AZ172" s="5">
        <f t="shared" si="109"/>
        <v>804.6</v>
      </c>
      <c r="BA172" s="5">
        <f t="shared" si="110"/>
        <v>358603.25202561129</v>
      </c>
      <c r="BB172" s="29" t="e">
        <f t="shared" si="111"/>
        <v>#NUM!</v>
      </c>
      <c r="BC172" s="29" t="e">
        <f t="shared" si="112"/>
        <v>#NUM!</v>
      </c>
      <c r="BD172" s="29" t="e">
        <f t="shared" si="113"/>
        <v>#NUM!</v>
      </c>
      <c r="BE172" s="29">
        <f t="shared" si="114"/>
        <v>0</v>
      </c>
      <c r="BF172" s="5" t="e">
        <f t="shared" si="115"/>
        <v>#NUM!</v>
      </c>
      <c r="BG172" s="29" t="e">
        <f t="shared" si="116"/>
        <v>#NUM!</v>
      </c>
      <c r="BH172" s="29" t="e">
        <f t="shared" si="117"/>
        <v>#NUM!</v>
      </c>
      <c r="BI172" s="29">
        <f t="shared" si="118"/>
        <v>0</v>
      </c>
      <c r="BJ172" s="30" t="e">
        <f t="shared" si="119"/>
        <v>#NUM!</v>
      </c>
      <c r="BK172" s="29" t="e">
        <f t="shared" si="120"/>
        <v>#NUM!</v>
      </c>
      <c r="BL172" s="29" t="e">
        <f t="shared" si="121"/>
        <v>#NUM!</v>
      </c>
      <c r="BM172" s="29">
        <f t="shared" si="122"/>
        <v>0</v>
      </c>
      <c r="BN172" s="5" t="e">
        <f t="shared" si="123"/>
        <v>#NUM!</v>
      </c>
      <c r="BO172" s="4">
        <f t="shared" si="124"/>
        <v>8.2194749199999997</v>
      </c>
      <c r="BP172" s="4">
        <f t="shared" si="125"/>
        <v>-15.77711152</v>
      </c>
      <c r="BQ172">
        <f t="shared" si="126"/>
        <v>8.2194749199999997</v>
      </c>
      <c r="BR172">
        <f t="shared" si="127"/>
        <v>-15.77711152</v>
      </c>
      <c r="BS172">
        <f t="shared" si="106"/>
        <v>1.6706615595841093E-16</v>
      </c>
      <c r="BT172" s="4">
        <f t="shared" si="128"/>
        <v>0.29418182304666912</v>
      </c>
      <c r="BU172" s="1">
        <f t="shared" si="107"/>
        <v>1.643644148734682E-11</v>
      </c>
    </row>
    <row r="173" spans="1:73" x14ac:dyDescent="0.2">
      <c r="A173" s="31">
        <v>112</v>
      </c>
      <c r="B173" s="4">
        <f>INDEX('vapour permeability'!$A$1:$AZ$450,A173,$C$12*2-1)</f>
        <v>8.2194749199999997</v>
      </c>
      <c r="C173" s="4">
        <f>INDEX('vapour permeability'!$A$1:$AZ$450,A173,$C$12*2)</f>
        <v>-15.77711152</v>
      </c>
      <c r="D173" s="49"/>
      <c r="X173" s="13">
        <v>1</v>
      </c>
      <c r="AY173">
        <f t="shared" si="108"/>
        <v>0</v>
      </c>
      <c r="AZ173" s="5">
        <f t="shared" si="109"/>
        <v>804.6</v>
      </c>
      <c r="BA173" s="5">
        <f t="shared" si="110"/>
        <v>358603.25202561129</v>
      </c>
      <c r="BB173" s="29" t="e">
        <f t="shared" si="111"/>
        <v>#NUM!</v>
      </c>
      <c r="BC173" s="29" t="e">
        <f t="shared" si="112"/>
        <v>#NUM!</v>
      </c>
      <c r="BD173" s="29" t="e">
        <f t="shared" si="113"/>
        <v>#NUM!</v>
      </c>
      <c r="BE173" s="29">
        <f t="shared" si="114"/>
        <v>0</v>
      </c>
      <c r="BF173" s="5" t="e">
        <f t="shared" si="115"/>
        <v>#NUM!</v>
      </c>
      <c r="BG173" s="29" t="e">
        <f t="shared" si="116"/>
        <v>#NUM!</v>
      </c>
      <c r="BH173" s="29" t="e">
        <f t="shared" si="117"/>
        <v>#NUM!</v>
      </c>
      <c r="BI173" s="29">
        <f t="shared" si="118"/>
        <v>0</v>
      </c>
      <c r="BJ173" s="30" t="e">
        <f t="shared" si="119"/>
        <v>#NUM!</v>
      </c>
      <c r="BK173" s="29" t="e">
        <f t="shared" si="120"/>
        <v>#NUM!</v>
      </c>
      <c r="BL173" s="29" t="e">
        <f t="shared" si="121"/>
        <v>#NUM!</v>
      </c>
      <c r="BM173" s="29">
        <f t="shared" si="122"/>
        <v>0</v>
      </c>
      <c r="BN173" s="5" t="e">
        <f t="shared" si="123"/>
        <v>#NUM!</v>
      </c>
      <c r="BO173" s="4">
        <f t="shared" si="124"/>
        <v>8.2194749199999997</v>
      </c>
      <c r="BP173" s="4">
        <f t="shared" si="125"/>
        <v>-15.77711152</v>
      </c>
      <c r="BQ173">
        <f t="shared" si="126"/>
        <v>8.2194749199999997</v>
      </c>
      <c r="BR173">
        <f t="shared" si="127"/>
        <v>-15.77711152</v>
      </c>
      <c r="BS173">
        <f t="shared" si="106"/>
        <v>1.6706615595841093E-16</v>
      </c>
      <c r="BT173" s="4">
        <f t="shared" si="128"/>
        <v>0.29418182304666912</v>
      </c>
      <c r="BU173" s="1">
        <f t="shared" si="107"/>
        <v>1.643644148734682E-11</v>
      </c>
    </row>
    <row r="174" spans="1:73" x14ac:dyDescent="0.2">
      <c r="A174" s="31">
        <v>113</v>
      </c>
      <c r="B174" s="4">
        <f>INDEX('vapour permeability'!$A$1:$AZ$450,A174,$C$12*2-1)</f>
        <v>8.2194749199999997</v>
      </c>
      <c r="C174" s="4">
        <f>INDEX('vapour permeability'!$A$1:$AZ$450,A174,$C$12*2)</f>
        <v>-15.77711152</v>
      </c>
      <c r="D174" s="49"/>
      <c r="X174" s="13">
        <v>1</v>
      </c>
      <c r="AY174">
        <f t="shared" si="108"/>
        <v>0</v>
      </c>
      <c r="AZ174" s="5">
        <f t="shared" si="109"/>
        <v>804.6</v>
      </c>
      <c r="BA174" s="5">
        <f t="shared" si="110"/>
        <v>358603.25202561129</v>
      </c>
      <c r="BB174" s="29" t="e">
        <f t="shared" si="111"/>
        <v>#NUM!</v>
      </c>
      <c r="BC174" s="29" t="e">
        <f t="shared" si="112"/>
        <v>#NUM!</v>
      </c>
      <c r="BD174" s="29" t="e">
        <f t="shared" si="113"/>
        <v>#NUM!</v>
      </c>
      <c r="BE174" s="29">
        <f t="shared" si="114"/>
        <v>0</v>
      </c>
      <c r="BF174" s="5" t="e">
        <f t="shared" si="115"/>
        <v>#NUM!</v>
      </c>
      <c r="BG174" s="29" t="e">
        <f t="shared" si="116"/>
        <v>#NUM!</v>
      </c>
      <c r="BH174" s="29" t="e">
        <f t="shared" si="117"/>
        <v>#NUM!</v>
      </c>
      <c r="BI174" s="29">
        <f t="shared" si="118"/>
        <v>0</v>
      </c>
      <c r="BJ174" s="30" t="e">
        <f t="shared" si="119"/>
        <v>#NUM!</v>
      </c>
      <c r="BK174" s="29" t="e">
        <f t="shared" si="120"/>
        <v>#NUM!</v>
      </c>
      <c r="BL174" s="29" t="e">
        <f t="shared" si="121"/>
        <v>#NUM!</v>
      </c>
      <c r="BM174" s="29">
        <f t="shared" si="122"/>
        <v>0</v>
      </c>
      <c r="BN174" s="5" t="e">
        <f t="shared" si="123"/>
        <v>#NUM!</v>
      </c>
      <c r="BO174" s="4">
        <f t="shared" si="124"/>
        <v>8.2194749199999997</v>
      </c>
      <c r="BP174" s="4">
        <f t="shared" si="125"/>
        <v>-15.77711152</v>
      </c>
      <c r="BQ174">
        <f t="shared" si="126"/>
        <v>8.2194749199999997</v>
      </c>
      <c r="BR174">
        <f t="shared" si="127"/>
        <v>-15.77711152</v>
      </c>
      <c r="BS174">
        <f t="shared" si="106"/>
        <v>1.6706615595841093E-16</v>
      </c>
      <c r="BT174" s="4">
        <f t="shared" si="128"/>
        <v>0.29418182304666912</v>
      </c>
      <c r="BU174" s="1">
        <f t="shared" si="107"/>
        <v>1.643644148734682E-11</v>
      </c>
    </row>
    <row r="175" spans="1:73" x14ac:dyDescent="0.2">
      <c r="A175" s="31">
        <v>114</v>
      </c>
      <c r="B175" s="4">
        <f>INDEX('vapour permeability'!$A$1:$AZ$450,A175,$C$12*2-1)</f>
        <v>8.2194749199999997</v>
      </c>
      <c r="C175" s="4">
        <f>INDEX('vapour permeability'!$A$1:$AZ$450,A175,$C$12*2)</f>
        <v>-15.77711152</v>
      </c>
      <c r="D175" s="49"/>
      <c r="X175" s="13">
        <v>1</v>
      </c>
      <c r="AY175">
        <f t="shared" si="108"/>
        <v>0</v>
      </c>
      <c r="AZ175" s="5">
        <f t="shared" si="109"/>
        <v>804.6</v>
      </c>
      <c r="BA175" s="5">
        <f t="shared" si="110"/>
        <v>358603.25202561129</v>
      </c>
      <c r="BB175" s="29" t="e">
        <f t="shared" si="111"/>
        <v>#NUM!</v>
      </c>
      <c r="BC175" s="29" t="e">
        <f t="shared" si="112"/>
        <v>#NUM!</v>
      </c>
      <c r="BD175" s="29" t="e">
        <f t="shared" si="113"/>
        <v>#NUM!</v>
      </c>
      <c r="BE175" s="29">
        <f t="shared" si="114"/>
        <v>0</v>
      </c>
      <c r="BF175" s="5" t="e">
        <f t="shared" si="115"/>
        <v>#NUM!</v>
      </c>
      <c r="BG175" s="29" t="e">
        <f t="shared" si="116"/>
        <v>#NUM!</v>
      </c>
      <c r="BH175" s="29" t="e">
        <f t="shared" si="117"/>
        <v>#NUM!</v>
      </c>
      <c r="BI175" s="29">
        <f t="shared" si="118"/>
        <v>0</v>
      </c>
      <c r="BJ175" s="30" t="e">
        <f t="shared" si="119"/>
        <v>#NUM!</v>
      </c>
      <c r="BK175" s="29" t="e">
        <f t="shared" si="120"/>
        <v>#NUM!</v>
      </c>
      <c r="BL175" s="29" t="e">
        <f t="shared" si="121"/>
        <v>#NUM!</v>
      </c>
      <c r="BM175" s="29">
        <f t="shared" si="122"/>
        <v>0</v>
      </c>
      <c r="BN175" s="5" t="e">
        <f t="shared" si="123"/>
        <v>#NUM!</v>
      </c>
      <c r="BO175" s="4">
        <f t="shared" si="124"/>
        <v>8.2194749199999997</v>
      </c>
      <c r="BP175" s="4">
        <f t="shared" si="125"/>
        <v>-15.77711152</v>
      </c>
      <c r="BQ175">
        <f t="shared" si="126"/>
        <v>8.2194749199999997</v>
      </c>
      <c r="BR175">
        <f t="shared" si="127"/>
        <v>-15.77711152</v>
      </c>
      <c r="BS175">
        <f t="shared" si="106"/>
        <v>1.6706615595841093E-16</v>
      </c>
      <c r="BT175" s="4">
        <f t="shared" si="128"/>
        <v>0.29418182304666912</v>
      </c>
      <c r="BU175" s="1">
        <f t="shared" si="107"/>
        <v>1.643644148734682E-11</v>
      </c>
    </row>
    <row r="176" spans="1:73" x14ac:dyDescent="0.2">
      <c r="A176" s="31">
        <v>115</v>
      </c>
      <c r="B176" s="4">
        <f>INDEX('vapour permeability'!$A$1:$AZ$450,A176,$C$12*2-1)</f>
        <v>8.2194749199999997</v>
      </c>
      <c r="C176" s="4">
        <f>INDEX('vapour permeability'!$A$1:$AZ$450,A176,$C$12*2)</f>
        <v>-15.77711152</v>
      </c>
      <c r="D176" s="49"/>
      <c r="X176" s="13">
        <v>1</v>
      </c>
      <c r="AY176">
        <f t="shared" si="108"/>
        <v>0</v>
      </c>
      <c r="AZ176" s="5">
        <f t="shared" si="109"/>
        <v>804.6</v>
      </c>
      <c r="BA176" s="5">
        <f t="shared" si="110"/>
        <v>358603.25202561129</v>
      </c>
      <c r="BB176" s="29" t="e">
        <f t="shared" si="111"/>
        <v>#NUM!</v>
      </c>
      <c r="BC176" s="29" t="e">
        <f t="shared" si="112"/>
        <v>#NUM!</v>
      </c>
      <c r="BD176" s="29" t="e">
        <f t="shared" si="113"/>
        <v>#NUM!</v>
      </c>
      <c r="BE176" s="29">
        <f t="shared" si="114"/>
        <v>0</v>
      </c>
      <c r="BF176" s="5" t="e">
        <f t="shared" si="115"/>
        <v>#NUM!</v>
      </c>
      <c r="BG176" s="29" t="e">
        <f t="shared" si="116"/>
        <v>#NUM!</v>
      </c>
      <c r="BH176" s="29" t="e">
        <f t="shared" si="117"/>
        <v>#NUM!</v>
      </c>
      <c r="BI176" s="29">
        <f t="shared" si="118"/>
        <v>0</v>
      </c>
      <c r="BJ176" s="30" t="e">
        <f t="shared" si="119"/>
        <v>#NUM!</v>
      </c>
      <c r="BK176" s="29" t="e">
        <f t="shared" si="120"/>
        <v>#NUM!</v>
      </c>
      <c r="BL176" s="29" t="e">
        <f t="shared" si="121"/>
        <v>#NUM!</v>
      </c>
      <c r="BM176" s="29">
        <f t="shared" si="122"/>
        <v>0</v>
      </c>
      <c r="BN176" s="5" t="e">
        <f t="shared" si="123"/>
        <v>#NUM!</v>
      </c>
      <c r="BO176" s="4">
        <f t="shared" si="124"/>
        <v>8.2194749199999997</v>
      </c>
      <c r="BP176" s="4">
        <f t="shared" si="125"/>
        <v>-15.77711152</v>
      </c>
      <c r="BQ176">
        <f t="shared" si="126"/>
        <v>8.2194749199999997</v>
      </c>
      <c r="BR176">
        <f t="shared" si="127"/>
        <v>-15.77711152</v>
      </c>
      <c r="BS176">
        <f t="shared" si="106"/>
        <v>1.6706615595841093E-16</v>
      </c>
      <c r="BT176" s="4">
        <f t="shared" si="128"/>
        <v>0.29418182304666912</v>
      </c>
      <c r="BU176" s="1">
        <f t="shared" si="107"/>
        <v>1.643644148734682E-11</v>
      </c>
    </row>
    <row r="177" spans="1:73" x14ac:dyDescent="0.2">
      <c r="A177" s="31">
        <v>116</v>
      </c>
      <c r="B177" s="4">
        <f>INDEX('vapour permeability'!$A$1:$AZ$450,A177,$C$12*2-1)</f>
        <v>8.2194749199999997</v>
      </c>
      <c r="C177" s="4">
        <f>INDEX('vapour permeability'!$A$1:$AZ$450,A177,$C$12*2)</f>
        <v>-15.77711152</v>
      </c>
      <c r="D177" s="49"/>
      <c r="X177" s="13">
        <v>1</v>
      </c>
      <c r="AY177">
        <f t="shared" si="108"/>
        <v>0</v>
      </c>
      <c r="AZ177" s="5">
        <f t="shared" si="109"/>
        <v>804.6</v>
      </c>
      <c r="BA177" s="5">
        <f t="shared" si="110"/>
        <v>358603.25202561129</v>
      </c>
      <c r="BB177" s="29" t="e">
        <f t="shared" si="111"/>
        <v>#NUM!</v>
      </c>
      <c r="BC177" s="29" t="e">
        <f t="shared" si="112"/>
        <v>#NUM!</v>
      </c>
      <c r="BD177" s="29" t="e">
        <f t="shared" si="113"/>
        <v>#NUM!</v>
      </c>
      <c r="BE177" s="29">
        <f t="shared" si="114"/>
        <v>0</v>
      </c>
      <c r="BF177" s="5" t="e">
        <f t="shared" si="115"/>
        <v>#NUM!</v>
      </c>
      <c r="BG177" s="29" t="e">
        <f t="shared" si="116"/>
        <v>#NUM!</v>
      </c>
      <c r="BH177" s="29" t="e">
        <f t="shared" si="117"/>
        <v>#NUM!</v>
      </c>
      <c r="BI177" s="29">
        <f t="shared" si="118"/>
        <v>0</v>
      </c>
      <c r="BJ177" s="30" t="e">
        <f t="shared" si="119"/>
        <v>#NUM!</v>
      </c>
      <c r="BK177" s="29" t="e">
        <f t="shared" si="120"/>
        <v>#NUM!</v>
      </c>
      <c r="BL177" s="29" t="e">
        <f t="shared" si="121"/>
        <v>#NUM!</v>
      </c>
      <c r="BM177" s="29">
        <f t="shared" si="122"/>
        <v>0</v>
      </c>
      <c r="BN177" s="5" t="e">
        <f t="shared" si="123"/>
        <v>#NUM!</v>
      </c>
      <c r="BO177" s="4">
        <f t="shared" si="124"/>
        <v>8.2194749199999997</v>
      </c>
      <c r="BP177" s="4">
        <f t="shared" si="125"/>
        <v>-15.77711152</v>
      </c>
      <c r="BQ177">
        <f t="shared" si="126"/>
        <v>8.2194749199999997</v>
      </c>
      <c r="BR177">
        <f t="shared" si="127"/>
        <v>-15.77711152</v>
      </c>
      <c r="BS177">
        <f t="shared" si="106"/>
        <v>1.6706615595841093E-16</v>
      </c>
      <c r="BT177" s="4">
        <f t="shared" si="128"/>
        <v>0.29418182304666912</v>
      </c>
      <c r="BU177" s="1">
        <f t="shared" si="107"/>
        <v>1.643644148734682E-11</v>
      </c>
    </row>
    <row r="178" spans="1:73" x14ac:dyDescent="0.2">
      <c r="A178" s="31">
        <v>117</v>
      </c>
      <c r="B178" s="4">
        <f>INDEX('vapour permeability'!$A$1:$AZ$450,A178,$C$12*2-1)</f>
        <v>8.2194749199999997</v>
      </c>
      <c r="C178" s="4">
        <f>INDEX('vapour permeability'!$A$1:$AZ$450,A178,$C$12*2)</f>
        <v>-15.77711152</v>
      </c>
      <c r="D178" s="49"/>
      <c r="X178" s="13">
        <v>1</v>
      </c>
      <c r="AY178">
        <f t="shared" si="108"/>
        <v>0</v>
      </c>
      <c r="AZ178" s="5">
        <f t="shared" si="109"/>
        <v>804.6</v>
      </c>
      <c r="BA178" s="5">
        <f t="shared" si="110"/>
        <v>358603.25202561129</v>
      </c>
      <c r="BB178" s="29" t="e">
        <f t="shared" si="111"/>
        <v>#NUM!</v>
      </c>
      <c r="BC178" s="29" t="e">
        <f t="shared" si="112"/>
        <v>#NUM!</v>
      </c>
      <c r="BD178" s="29" t="e">
        <f t="shared" si="113"/>
        <v>#NUM!</v>
      </c>
      <c r="BE178" s="29">
        <f t="shared" si="114"/>
        <v>0</v>
      </c>
      <c r="BF178" s="5" t="e">
        <f t="shared" si="115"/>
        <v>#NUM!</v>
      </c>
      <c r="BG178" s="29" t="e">
        <f t="shared" si="116"/>
        <v>#NUM!</v>
      </c>
      <c r="BH178" s="29" t="e">
        <f t="shared" si="117"/>
        <v>#NUM!</v>
      </c>
      <c r="BI178" s="29">
        <f t="shared" si="118"/>
        <v>0</v>
      </c>
      <c r="BJ178" s="30" t="e">
        <f t="shared" si="119"/>
        <v>#NUM!</v>
      </c>
      <c r="BK178" s="29" t="e">
        <f t="shared" si="120"/>
        <v>#NUM!</v>
      </c>
      <c r="BL178" s="29" t="e">
        <f t="shared" si="121"/>
        <v>#NUM!</v>
      </c>
      <c r="BM178" s="29">
        <f t="shared" si="122"/>
        <v>0</v>
      </c>
      <c r="BN178" s="5" t="e">
        <f t="shared" si="123"/>
        <v>#NUM!</v>
      </c>
      <c r="BO178" s="4">
        <f t="shared" si="124"/>
        <v>8.2194749199999997</v>
      </c>
      <c r="BP178" s="4">
        <f t="shared" si="125"/>
        <v>-15.77711152</v>
      </c>
      <c r="BQ178">
        <f t="shared" si="126"/>
        <v>8.2194749199999997</v>
      </c>
      <c r="BR178">
        <f t="shared" si="127"/>
        <v>-15.77711152</v>
      </c>
      <c r="BS178">
        <f t="shared" si="106"/>
        <v>1.6706615595841093E-16</v>
      </c>
      <c r="BT178" s="4">
        <f t="shared" si="128"/>
        <v>0.29418182304666912</v>
      </c>
      <c r="BU178" s="1">
        <f t="shared" si="107"/>
        <v>1.643644148734682E-11</v>
      </c>
    </row>
    <row r="179" spans="1:73" x14ac:dyDescent="0.2">
      <c r="A179" s="31">
        <v>118</v>
      </c>
      <c r="B179" s="4">
        <f>INDEX('vapour permeability'!$A$1:$AZ$450,A179,$C$12*2-1)</f>
        <v>8.2194749199999997</v>
      </c>
      <c r="C179" s="4">
        <f>INDEX('vapour permeability'!$A$1:$AZ$450,A179,$C$12*2)</f>
        <v>-15.77711152</v>
      </c>
      <c r="D179" s="49"/>
      <c r="X179" s="13">
        <v>1</v>
      </c>
      <c r="AY179">
        <f t="shared" si="108"/>
        <v>0</v>
      </c>
      <c r="AZ179" s="5">
        <f t="shared" si="109"/>
        <v>804.6</v>
      </c>
      <c r="BA179" s="5">
        <f t="shared" si="110"/>
        <v>358603.25202561129</v>
      </c>
      <c r="BB179" s="29" t="e">
        <f t="shared" si="111"/>
        <v>#NUM!</v>
      </c>
      <c r="BC179" s="29" t="e">
        <f t="shared" si="112"/>
        <v>#NUM!</v>
      </c>
      <c r="BD179" s="29" t="e">
        <f t="shared" si="113"/>
        <v>#NUM!</v>
      </c>
      <c r="BE179" s="29">
        <f t="shared" si="114"/>
        <v>0</v>
      </c>
      <c r="BF179" s="5" t="e">
        <f t="shared" si="115"/>
        <v>#NUM!</v>
      </c>
      <c r="BG179" s="29" t="e">
        <f t="shared" si="116"/>
        <v>#NUM!</v>
      </c>
      <c r="BH179" s="29" t="e">
        <f t="shared" si="117"/>
        <v>#NUM!</v>
      </c>
      <c r="BI179" s="29">
        <f t="shared" si="118"/>
        <v>0</v>
      </c>
      <c r="BJ179" s="30" t="e">
        <f t="shared" si="119"/>
        <v>#NUM!</v>
      </c>
      <c r="BK179" s="29" t="e">
        <f t="shared" si="120"/>
        <v>#NUM!</v>
      </c>
      <c r="BL179" s="29" t="e">
        <f t="shared" si="121"/>
        <v>#NUM!</v>
      </c>
      <c r="BM179" s="29">
        <f t="shared" si="122"/>
        <v>0</v>
      </c>
      <c r="BN179" s="5" t="e">
        <f t="shared" si="123"/>
        <v>#NUM!</v>
      </c>
      <c r="BO179" s="4">
        <f t="shared" si="124"/>
        <v>8.2194749199999997</v>
      </c>
      <c r="BP179" s="4">
        <f t="shared" si="125"/>
        <v>-15.77711152</v>
      </c>
      <c r="BQ179">
        <f t="shared" si="126"/>
        <v>8.2194749199999997</v>
      </c>
      <c r="BR179">
        <f t="shared" si="127"/>
        <v>-15.77711152</v>
      </c>
      <c r="BS179">
        <f t="shared" si="106"/>
        <v>1.6706615595841093E-16</v>
      </c>
      <c r="BT179" s="4">
        <f t="shared" si="128"/>
        <v>0.29418182304666912</v>
      </c>
      <c r="BU179" s="1">
        <f t="shared" si="107"/>
        <v>1.643644148734682E-11</v>
      </c>
    </row>
    <row r="180" spans="1:73" x14ac:dyDescent="0.2">
      <c r="A180" s="31">
        <v>119</v>
      </c>
      <c r="B180" s="4">
        <f>INDEX('vapour permeability'!$A$1:$AZ$450,A180,$C$12*2-1)</f>
        <v>8.2194749199999997</v>
      </c>
      <c r="C180" s="4">
        <f>INDEX('vapour permeability'!$A$1:$AZ$450,A180,$C$12*2)</f>
        <v>-15.77711152</v>
      </c>
      <c r="D180" s="49"/>
      <c r="X180" s="13">
        <v>1</v>
      </c>
      <c r="AY180">
        <f t="shared" si="108"/>
        <v>0</v>
      </c>
      <c r="AZ180" s="5">
        <f t="shared" si="109"/>
        <v>804.6</v>
      </c>
      <c r="BA180" s="5">
        <f t="shared" si="110"/>
        <v>358603.25202561129</v>
      </c>
      <c r="BB180" s="29" t="e">
        <f t="shared" si="111"/>
        <v>#NUM!</v>
      </c>
      <c r="BC180" s="29" t="e">
        <f t="shared" si="112"/>
        <v>#NUM!</v>
      </c>
      <c r="BD180" s="29" t="e">
        <f t="shared" si="113"/>
        <v>#NUM!</v>
      </c>
      <c r="BE180" s="29">
        <f t="shared" si="114"/>
        <v>0</v>
      </c>
      <c r="BF180" s="5" t="e">
        <f t="shared" si="115"/>
        <v>#NUM!</v>
      </c>
      <c r="BG180" s="29" t="e">
        <f t="shared" si="116"/>
        <v>#NUM!</v>
      </c>
      <c r="BH180" s="29" t="e">
        <f t="shared" si="117"/>
        <v>#NUM!</v>
      </c>
      <c r="BI180" s="29">
        <f t="shared" si="118"/>
        <v>0</v>
      </c>
      <c r="BJ180" s="30" t="e">
        <f t="shared" si="119"/>
        <v>#NUM!</v>
      </c>
      <c r="BK180" s="29" t="e">
        <f t="shared" si="120"/>
        <v>#NUM!</v>
      </c>
      <c r="BL180" s="29" t="e">
        <f t="shared" si="121"/>
        <v>#NUM!</v>
      </c>
      <c r="BM180" s="29">
        <f t="shared" si="122"/>
        <v>0</v>
      </c>
      <c r="BN180" s="5" t="e">
        <f t="shared" si="123"/>
        <v>#NUM!</v>
      </c>
      <c r="BO180" s="4">
        <f t="shared" si="124"/>
        <v>8.2194749199999997</v>
      </c>
      <c r="BP180" s="4">
        <f t="shared" si="125"/>
        <v>-15.77711152</v>
      </c>
      <c r="BQ180">
        <f t="shared" si="126"/>
        <v>8.2194749199999997</v>
      </c>
      <c r="BR180">
        <f t="shared" si="127"/>
        <v>-15.77711152</v>
      </c>
      <c r="BS180">
        <f t="shared" si="106"/>
        <v>1.6706615595841093E-16</v>
      </c>
      <c r="BT180" s="4">
        <f t="shared" si="128"/>
        <v>0.29418182304666912</v>
      </c>
      <c r="BU180" s="1">
        <f t="shared" si="107"/>
        <v>1.643644148734682E-11</v>
      </c>
    </row>
    <row r="181" spans="1:73" x14ac:dyDescent="0.2">
      <c r="A181" s="31">
        <v>120</v>
      </c>
      <c r="B181" s="4">
        <f>INDEX('vapour permeability'!$A$1:$AZ$450,A181,$C$12*2-1)</f>
        <v>8.2194749199999997</v>
      </c>
      <c r="C181" s="4">
        <f>INDEX('vapour permeability'!$A$1:$AZ$450,A181,$C$12*2)</f>
        <v>-15.77711152</v>
      </c>
      <c r="D181" s="49"/>
      <c r="X181" s="13">
        <v>1</v>
      </c>
      <c r="AY181">
        <f t="shared" si="108"/>
        <v>0</v>
      </c>
      <c r="AZ181" s="5">
        <f t="shared" si="109"/>
        <v>804.6</v>
      </c>
      <c r="BA181" s="5">
        <f t="shared" si="110"/>
        <v>358603.25202561129</v>
      </c>
      <c r="BB181" s="29" t="e">
        <f t="shared" si="111"/>
        <v>#NUM!</v>
      </c>
      <c r="BC181" s="29" t="e">
        <f t="shared" si="112"/>
        <v>#NUM!</v>
      </c>
      <c r="BD181" s="29" t="e">
        <f t="shared" si="113"/>
        <v>#NUM!</v>
      </c>
      <c r="BE181" s="29">
        <f t="shared" si="114"/>
        <v>0</v>
      </c>
      <c r="BF181" s="5" t="e">
        <f t="shared" si="115"/>
        <v>#NUM!</v>
      </c>
      <c r="BG181" s="29" t="e">
        <f t="shared" si="116"/>
        <v>#NUM!</v>
      </c>
      <c r="BH181" s="29" t="e">
        <f t="shared" si="117"/>
        <v>#NUM!</v>
      </c>
      <c r="BI181" s="29">
        <f t="shared" si="118"/>
        <v>0</v>
      </c>
      <c r="BJ181" s="30" t="e">
        <f t="shared" si="119"/>
        <v>#NUM!</v>
      </c>
      <c r="BK181" s="29" t="e">
        <f t="shared" si="120"/>
        <v>#NUM!</v>
      </c>
      <c r="BL181" s="29" t="e">
        <f t="shared" si="121"/>
        <v>#NUM!</v>
      </c>
      <c r="BM181" s="29">
        <f t="shared" si="122"/>
        <v>0</v>
      </c>
      <c r="BN181" s="5" t="e">
        <f t="shared" si="123"/>
        <v>#NUM!</v>
      </c>
      <c r="BO181" s="4">
        <f t="shared" si="124"/>
        <v>8.2194749199999997</v>
      </c>
      <c r="BP181" s="4">
        <f t="shared" si="125"/>
        <v>-15.77711152</v>
      </c>
      <c r="BQ181">
        <f t="shared" si="126"/>
        <v>8.2194749199999997</v>
      </c>
      <c r="BR181">
        <f t="shared" si="127"/>
        <v>-15.77711152</v>
      </c>
      <c r="BS181">
        <f t="shared" si="106"/>
        <v>1.6706615595841093E-16</v>
      </c>
      <c r="BT181" s="4">
        <f t="shared" si="128"/>
        <v>0.29418182304666912</v>
      </c>
      <c r="BU181" s="1">
        <f t="shared" si="107"/>
        <v>1.643644148734682E-11</v>
      </c>
    </row>
    <row r="182" spans="1:73" x14ac:dyDescent="0.2">
      <c r="A182" s="31">
        <v>121</v>
      </c>
      <c r="B182" s="4">
        <f>INDEX('vapour permeability'!$A$1:$AZ$450,A182,$C$12*2-1)</f>
        <v>8.2194749199999997</v>
      </c>
      <c r="C182" s="4">
        <f>INDEX('vapour permeability'!$A$1:$AZ$450,A182,$C$12*2)</f>
        <v>-15.77711152</v>
      </c>
      <c r="D182" s="49"/>
      <c r="X182" s="13">
        <v>1</v>
      </c>
      <c r="AY182">
        <f t="shared" si="108"/>
        <v>0</v>
      </c>
      <c r="AZ182" s="5">
        <f t="shared" si="109"/>
        <v>804.6</v>
      </c>
      <c r="BA182" s="5">
        <f t="shared" si="110"/>
        <v>358603.25202561129</v>
      </c>
      <c r="BB182" s="29" t="e">
        <f t="shared" si="111"/>
        <v>#NUM!</v>
      </c>
      <c r="BC182" s="29" t="e">
        <f t="shared" si="112"/>
        <v>#NUM!</v>
      </c>
      <c r="BD182" s="29" t="e">
        <f t="shared" si="113"/>
        <v>#NUM!</v>
      </c>
      <c r="BE182" s="29">
        <f t="shared" si="114"/>
        <v>0</v>
      </c>
      <c r="BF182" s="5" t="e">
        <f t="shared" si="115"/>
        <v>#NUM!</v>
      </c>
      <c r="BG182" s="29" t="e">
        <f t="shared" si="116"/>
        <v>#NUM!</v>
      </c>
      <c r="BH182" s="29" t="e">
        <f t="shared" si="117"/>
        <v>#NUM!</v>
      </c>
      <c r="BI182" s="29">
        <f t="shared" si="118"/>
        <v>0</v>
      </c>
      <c r="BJ182" s="30" t="e">
        <f t="shared" si="119"/>
        <v>#NUM!</v>
      </c>
      <c r="BK182" s="29" t="e">
        <f t="shared" si="120"/>
        <v>#NUM!</v>
      </c>
      <c r="BL182" s="29" t="e">
        <f t="shared" si="121"/>
        <v>#NUM!</v>
      </c>
      <c r="BM182" s="29">
        <f t="shared" si="122"/>
        <v>0</v>
      </c>
      <c r="BN182" s="5" t="e">
        <f t="shared" si="123"/>
        <v>#NUM!</v>
      </c>
      <c r="BO182" s="4">
        <f t="shared" si="124"/>
        <v>8.2194749199999997</v>
      </c>
      <c r="BP182" s="4">
        <f t="shared" si="125"/>
        <v>-15.77711152</v>
      </c>
      <c r="BQ182">
        <f t="shared" si="126"/>
        <v>8.2194749199999997</v>
      </c>
      <c r="BR182">
        <f t="shared" si="127"/>
        <v>-15.77711152</v>
      </c>
      <c r="BS182">
        <f t="shared" si="106"/>
        <v>1.6706615595841093E-16</v>
      </c>
      <c r="BT182" s="4">
        <f t="shared" si="128"/>
        <v>0.29418182304666912</v>
      </c>
      <c r="BU182" s="1">
        <f t="shared" si="107"/>
        <v>1.643644148734682E-11</v>
      </c>
    </row>
    <row r="183" spans="1:73" x14ac:dyDescent="0.2">
      <c r="A183" s="31">
        <v>122</v>
      </c>
      <c r="B183" s="4">
        <f>INDEX('vapour permeability'!$A$1:$AZ$450,A183,$C$12*2-1)</f>
        <v>8.2194749199999997</v>
      </c>
      <c r="C183" s="4">
        <f>INDEX('vapour permeability'!$A$1:$AZ$450,A183,$C$12*2)</f>
        <v>-15.77711152</v>
      </c>
      <c r="D183" s="49"/>
      <c r="X183" s="13">
        <v>1</v>
      </c>
      <c r="AY183">
        <f t="shared" si="108"/>
        <v>0</v>
      </c>
      <c r="AZ183" s="5">
        <f t="shared" si="109"/>
        <v>804.6</v>
      </c>
      <c r="BA183" s="5">
        <f t="shared" si="110"/>
        <v>358603.25202561129</v>
      </c>
      <c r="BB183" s="29" t="e">
        <f t="shared" si="111"/>
        <v>#NUM!</v>
      </c>
      <c r="BC183" s="29" t="e">
        <f t="shared" si="112"/>
        <v>#NUM!</v>
      </c>
      <c r="BD183" s="29" t="e">
        <f t="shared" si="113"/>
        <v>#NUM!</v>
      </c>
      <c r="BE183" s="29">
        <f t="shared" si="114"/>
        <v>0</v>
      </c>
      <c r="BF183" s="5" t="e">
        <f t="shared" si="115"/>
        <v>#NUM!</v>
      </c>
      <c r="BG183" s="29" t="e">
        <f t="shared" si="116"/>
        <v>#NUM!</v>
      </c>
      <c r="BH183" s="29" t="e">
        <f t="shared" si="117"/>
        <v>#NUM!</v>
      </c>
      <c r="BI183" s="29">
        <f t="shared" si="118"/>
        <v>0</v>
      </c>
      <c r="BJ183" s="30" t="e">
        <f t="shared" si="119"/>
        <v>#NUM!</v>
      </c>
      <c r="BK183" s="29" t="e">
        <f t="shared" si="120"/>
        <v>#NUM!</v>
      </c>
      <c r="BL183" s="29" t="e">
        <f t="shared" si="121"/>
        <v>#NUM!</v>
      </c>
      <c r="BM183" s="29">
        <f t="shared" si="122"/>
        <v>0</v>
      </c>
      <c r="BN183" s="5" t="e">
        <f t="shared" si="123"/>
        <v>#NUM!</v>
      </c>
      <c r="BO183" s="4">
        <f t="shared" si="124"/>
        <v>8.2194749199999997</v>
      </c>
      <c r="BP183" s="4">
        <f t="shared" si="125"/>
        <v>-15.77711152</v>
      </c>
      <c r="BQ183">
        <f t="shared" si="126"/>
        <v>8.2194749199999997</v>
      </c>
      <c r="BR183">
        <f t="shared" si="127"/>
        <v>-15.77711152</v>
      </c>
      <c r="BS183">
        <f t="shared" si="106"/>
        <v>1.6706615595841093E-16</v>
      </c>
      <c r="BT183" s="4">
        <f t="shared" si="128"/>
        <v>0.29418182304666912</v>
      </c>
      <c r="BU183" s="1">
        <f t="shared" si="107"/>
        <v>1.643644148734682E-11</v>
      </c>
    </row>
    <row r="184" spans="1:73" x14ac:dyDescent="0.2">
      <c r="A184" s="31">
        <v>123</v>
      </c>
      <c r="B184" s="4">
        <f>INDEX('vapour permeability'!$A$1:$AZ$450,A184,$C$12*2-1)</f>
        <v>8.2194749199999997</v>
      </c>
      <c r="C184" s="4">
        <f>INDEX('vapour permeability'!$A$1:$AZ$450,A184,$C$12*2)</f>
        <v>-15.77711152</v>
      </c>
      <c r="D184" s="49"/>
      <c r="X184" s="13">
        <v>1</v>
      </c>
      <c r="AY184">
        <f t="shared" si="108"/>
        <v>0</v>
      </c>
      <c r="AZ184" s="5">
        <f t="shared" si="109"/>
        <v>804.6</v>
      </c>
      <c r="BA184" s="5">
        <f t="shared" si="110"/>
        <v>358603.25202561129</v>
      </c>
      <c r="BB184" s="29" t="e">
        <f t="shared" si="111"/>
        <v>#NUM!</v>
      </c>
      <c r="BC184" s="29" t="e">
        <f t="shared" si="112"/>
        <v>#NUM!</v>
      </c>
      <c r="BD184" s="29" t="e">
        <f t="shared" si="113"/>
        <v>#NUM!</v>
      </c>
      <c r="BE184" s="29">
        <f t="shared" si="114"/>
        <v>0</v>
      </c>
      <c r="BF184" s="5" t="e">
        <f t="shared" si="115"/>
        <v>#NUM!</v>
      </c>
      <c r="BG184" s="29" t="e">
        <f t="shared" si="116"/>
        <v>#NUM!</v>
      </c>
      <c r="BH184" s="29" t="e">
        <f t="shared" si="117"/>
        <v>#NUM!</v>
      </c>
      <c r="BI184" s="29">
        <f t="shared" si="118"/>
        <v>0</v>
      </c>
      <c r="BJ184" s="30" t="e">
        <f t="shared" si="119"/>
        <v>#NUM!</v>
      </c>
      <c r="BK184" s="29" t="e">
        <f t="shared" si="120"/>
        <v>#NUM!</v>
      </c>
      <c r="BL184" s="29" t="e">
        <f t="shared" si="121"/>
        <v>#NUM!</v>
      </c>
      <c r="BM184" s="29">
        <f t="shared" si="122"/>
        <v>0</v>
      </c>
      <c r="BN184" s="5" t="e">
        <f t="shared" si="123"/>
        <v>#NUM!</v>
      </c>
      <c r="BO184" s="4">
        <f t="shared" si="124"/>
        <v>8.2194749199999997</v>
      </c>
      <c r="BP184" s="4">
        <f t="shared" si="125"/>
        <v>-15.77711152</v>
      </c>
      <c r="BQ184">
        <f t="shared" si="126"/>
        <v>8.2194749199999997</v>
      </c>
      <c r="BR184">
        <f t="shared" si="127"/>
        <v>-15.77711152</v>
      </c>
      <c r="BS184">
        <f t="shared" si="106"/>
        <v>1.6706615595841093E-16</v>
      </c>
      <c r="BT184" s="4">
        <f t="shared" si="128"/>
        <v>0.29418182304666912</v>
      </c>
      <c r="BU184" s="1">
        <f t="shared" si="107"/>
        <v>1.643644148734682E-11</v>
      </c>
    </row>
    <row r="185" spans="1:73" x14ac:dyDescent="0.2">
      <c r="A185" s="31">
        <v>124</v>
      </c>
      <c r="B185" s="4">
        <f>INDEX('vapour permeability'!$A$1:$AZ$450,A185,$C$12*2-1)</f>
        <v>8.2194749199999997</v>
      </c>
      <c r="C185" s="4">
        <f>INDEX('vapour permeability'!$A$1:$AZ$450,A185,$C$12*2)</f>
        <v>-15.77711152</v>
      </c>
      <c r="D185" s="49"/>
      <c r="X185" s="13">
        <v>1</v>
      </c>
      <c r="AY185">
        <f t="shared" si="108"/>
        <v>0</v>
      </c>
      <c r="AZ185" s="5">
        <f t="shared" si="109"/>
        <v>804.6</v>
      </c>
      <c r="BA185" s="5">
        <f t="shared" si="110"/>
        <v>358603.25202561129</v>
      </c>
      <c r="BB185" s="29" t="e">
        <f t="shared" si="111"/>
        <v>#NUM!</v>
      </c>
      <c r="BC185" s="29" t="e">
        <f t="shared" si="112"/>
        <v>#NUM!</v>
      </c>
      <c r="BD185" s="29" t="e">
        <f t="shared" si="113"/>
        <v>#NUM!</v>
      </c>
      <c r="BE185" s="29">
        <f t="shared" si="114"/>
        <v>0</v>
      </c>
      <c r="BF185" s="5" t="e">
        <f t="shared" si="115"/>
        <v>#NUM!</v>
      </c>
      <c r="BG185" s="29" t="e">
        <f t="shared" si="116"/>
        <v>#NUM!</v>
      </c>
      <c r="BH185" s="29" t="e">
        <f t="shared" si="117"/>
        <v>#NUM!</v>
      </c>
      <c r="BI185" s="29">
        <f t="shared" si="118"/>
        <v>0</v>
      </c>
      <c r="BJ185" s="30" t="e">
        <f t="shared" si="119"/>
        <v>#NUM!</v>
      </c>
      <c r="BK185" s="29" t="e">
        <f t="shared" si="120"/>
        <v>#NUM!</v>
      </c>
      <c r="BL185" s="29" t="e">
        <f t="shared" si="121"/>
        <v>#NUM!</v>
      </c>
      <c r="BM185" s="29">
        <f t="shared" si="122"/>
        <v>0</v>
      </c>
      <c r="BN185" s="5" t="e">
        <f t="shared" si="123"/>
        <v>#NUM!</v>
      </c>
      <c r="BO185" s="4">
        <f t="shared" si="124"/>
        <v>8.2194749199999997</v>
      </c>
      <c r="BP185" s="4">
        <f t="shared" si="125"/>
        <v>-15.77711152</v>
      </c>
      <c r="BQ185">
        <f t="shared" si="126"/>
        <v>8.2194749199999997</v>
      </c>
      <c r="BR185">
        <f t="shared" si="127"/>
        <v>-15.77711152</v>
      </c>
      <c r="BS185">
        <f t="shared" si="106"/>
        <v>1.6706615595841093E-16</v>
      </c>
      <c r="BT185" s="4">
        <f t="shared" si="128"/>
        <v>0.29418182304666912</v>
      </c>
      <c r="BU185" s="1">
        <f t="shared" si="107"/>
        <v>1.643644148734682E-11</v>
      </c>
    </row>
    <row r="186" spans="1:73" x14ac:dyDescent="0.2">
      <c r="A186" s="31">
        <v>125</v>
      </c>
      <c r="B186" s="4">
        <f>INDEX('vapour permeability'!$A$1:$AZ$450,A186,$C$12*2-1)</f>
        <v>8.2194749199999997</v>
      </c>
      <c r="C186" s="4">
        <f>INDEX('vapour permeability'!$A$1:$AZ$450,A186,$C$12*2)</f>
        <v>-15.77711152</v>
      </c>
      <c r="D186" s="49"/>
      <c r="X186" s="13">
        <v>1</v>
      </c>
      <c r="AY186">
        <f t="shared" si="108"/>
        <v>0</v>
      </c>
      <c r="AZ186" s="5">
        <f t="shared" si="109"/>
        <v>804.6</v>
      </c>
      <c r="BA186" s="5">
        <f t="shared" si="110"/>
        <v>358603.25202561129</v>
      </c>
      <c r="BB186" s="29" t="e">
        <f t="shared" si="111"/>
        <v>#NUM!</v>
      </c>
      <c r="BC186" s="29" t="e">
        <f t="shared" si="112"/>
        <v>#NUM!</v>
      </c>
      <c r="BD186" s="29" t="e">
        <f t="shared" si="113"/>
        <v>#NUM!</v>
      </c>
      <c r="BE186" s="29">
        <f t="shared" si="114"/>
        <v>0</v>
      </c>
      <c r="BF186" s="5" t="e">
        <f t="shared" si="115"/>
        <v>#NUM!</v>
      </c>
      <c r="BG186" s="29" t="e">
        <f t="shared" si="116"/>
        <v>#NUM!</v>
      </c>
      <c r="BH186" s="29" t="e">
        <f t="shared" si="117"/>
        <v>#NUM!</v>
      </c>
      <c r="BI186" s="29">
        <f t="shared" si="118"/>
        <v>0</v>
      </c>
      <c r="BJ186" s="30" t="e">
        <f t="shared" si="119"/>
        <v>#NUM!</v>
      </c>
      <c r="BK186" s="29" t="e">
        <f t="shared" si="120"/>
        <v>#NUM!</v>
      </c>
      <c r="BL186" s="29" t="e">
        <f t="shared" si="121"/>
        <v>#NUM!</v>
      </c>
      <c r="BM186" s="29">
        <f t="shared" si="122"/>
        <v>0</v>
      </c>
      <c r="BN186" s="5" t="e">
        <f t="shared" si="123"/>
        <v>#NUM!</v>
      </c>
      <c r="BO186" s="4">
        <f t="shared" si="124"/>
        <v>8.2194749199999997</v>
      </c>
      <c r="BP186" s="4">
        <f t="shared" si="125"/>
        <v>-15.77711152</v>
      </c>
      <c r="BQ186">
        <f t="shared" si="126"/>
        <v>8.2194749199999997</v>
      </c>
      <c r="BR186">
        <f t="shared" si="127"/>
        <v>-15.77711152</v>
      </c>
      <c r="BS186">
        <f t="shared" si="106"/>
        <v>1.6706615595841093E-16</v>
      </c>
      <c r="BT186" s="4">
        <f t="shared" si="128"/>
        <v>0.29418182304666912</v>
      </c>
      <c r="BU186" s="1">
        <f t="shared" si="107"/>
        <v>1.643644148734682E-11</v>
      </c>
    </row>
    <row r="187" spans="1:73" x14ac:dyDescent="0.2">
      <c r="A187" s="31">
        <v>126</v>
      </c>
      <c r="B187" s="4">
        <f>INDEX('vapour permeability'!$A$1:$AZ$450,A187,$C$12*2-1)</f>
        <v>8.2194749199999997</v>
      </c>
      <c r="C187" s="4">
        <f>INDEX('vapour permeability'!$A$1:$AZ$450,A187,$C$12*2)</f>
        <v>-15.77711152</v>
      </c>
      <c r="D187" s="49"/>
      <c r="X187" s="13">
        <v>1</v>
      </c>
      <c r="AY187">
        <f t="shared" si="108"/>
        <v>0</v>
      </c>
      <c r="AZ187" s="5">
        <f t="shared" si="109"/>
        <v>804.6</v>
      </c>
      <c r="BA187" s="5">
        <f t="shared" si="110"/>
        <v>358603.25202561129</v>
      </c>
      <c r="BB187" s="29" t="e">
        <f t="shared" si="111"/>
        <v>#NUM!</v>
      </c>
      <c r="BC187" s="29" t="e">
        <f t="shared" si="112"/>
        <v>#NUM!</v>
      </c>
      <c r="BD187" s="29" t="e">
        <f t="shared" si="113"/>
        <v>#NUM!</v>
      </c>
      <c r="BE187" s="29">
        <f t="shared" si="114"/>
        <v>0</v>
      </c>
      <c r="BF187" s="5" t="e">
        <f t="shared" si="115"/>
        <v>#NUM!</v>
      </c>
      <c r="BG187" s="29" t="e">
        <f t="shared" si="116"/>
        <v>#NUM!</v>
      </c>
      <c r="BH187" s="29" t="e">
        <f t="shared" si="117"/>
        <v>#NUM!</v>
      </c>
      <c r="BI187" s="29">
        <f t="shared" si="118"/>
        <v>0</v>
      </c>
      <c r="BJ187" s="30" t="e">
        <f t="shared" si="119"/>
        <v>#NUM!</v>
      </c>
      <c r="BK187" s="29" t="e">
        <f t="shared" si="120"/>
        <v>#NUM!</v>
      </c>
      <c r="BL187" s="29" t="e">
        <f t="shared" si="121"/>
        <v>#NUM!</v>
      </c>
      <c r="BM187" s="29">
        <f t="shared" si="122"/>
        <v>0</v>
      </c>
      <c r="BN187" s="5" t="e">
        <f t="shared" si="123"/>
        <v>#NUM!</v>
      </c>
      <c r="BO187" s="4">
        <f t="shared" si="124"/>
        <v>8.2194749199999997</v>
      </c>
      <c r="BP187" s="4">
        <f t="shared" si="125"/>
        <v>-15.77711152</v>
      </c>
      <c r="BQ187">
        <f t="shared" si="126"/>
        <v>8.2194749199999997</v>
      </c>
      <c r="BR187">
        <f t="shared" si="127"/>
        <v>-15.77711152</v>
      </c>
      <c r="BS187">
        <f t="shared" si="106"/>
        <v>1.6706615595841093E-16</v>
      </c>
      <c r="BT187" s="4">
        <f t="shared" si="128"/>
        <v>0.29418182304666912</v>
      </c>
      <c r="BU187" s="1">
        <f t="shared" si="107"/>
        <v>1.643644148734682E-11</v>
      </c>
    </row>
    <row r="188" spans="1:73" x14ac:dyDescent="0.2">
      <c r="A188" s="31">
        <v>127</v>
      </c>
      <c r="B188" s="4">
        <f>INDEX('vapour permeability'!$A$1:$AZ$450,A188,$C$12*2-1)</f>
        <v>8.2194749199999997</v>
      </c>
      <c r="C188" s="4">
        <f>INDEX('vapour permeability'!$A$1:$AZ$450,A188,$C$12*2)</f>
        <v>-15.77711152</v>
      </c>
      <c r="D188" s="49"/>
      <c r="X188" s="13">
        <v>1</v>
      </c>
      <c r="AY188">
        <f t="shared" si="108"/>
        <v>0</v>
      </c>
      <c r="AZ188" s="5">
        <f t="shared" si="109"/>
        <v>804.6</v>
      </c>
      <c r="BA188" s="5">
        <f t="shared" si="110"/>
        <v>358603.25202561129</v>
      </c>
      <c r="BB188" s="29" t="e">
        <f t="shared" si="111"/>
        <v>#NUM!</v>
      </c>
      <c r="BC188" s="29" t="e">
        <f t="shared" si="112"/>
        <v>#NUM!</v>
      </c>
      <c r="BD188" s="29" t="e">
        <f t="shared" si="113"/>
        <v>#NUM!</v>
      </c>
      <c r="BE188" s="29">
        <f t="shared" si="114"/>
        <v>0</v>
      </c>
      <c r="BF188" s="5" t="e">
        <f t="shared" si="115"/>
        <v>#NUM!</v>
      </c>
      <c r="BG188" s="29" t="e">
        <f t="shared" si="116"/>
        <v>#NUM!</v>
      </c>
      <c r="BH188" s="29" t="e">
        <f t="shared" si="117"/>
        <v>#NUM!</v>
      </c>
      <c r="BI188" s="29">
        <f t="shared" si="118"/>
        <v>0</v>
      </c>
      <c r="BJ188" s="30" t="e">
        <f t="shared" si="119"/>
        <v>#NUM!</v>
      </c>
      <c r="BK188" s="29" t="e">
        <f t="shared" si="120"/>
        <v>#NUM!</v>
      </c>
      <c r="BL188" s="29" t="e">
        <f t="shared" si="121"/>
        <v>#NUM!</v>
      </c>
      <c r="BM188" s="29">
        <f t="shared" si="122"/>
        <v>0</v>
      </c>
      <c r="BN188" s="5" t="e">
        <f t="shared" si="123"/>
        <v>#NUM!</v>
      </c>
      <c r="BO188" s="4">
        <f t="shared" si="124"/>
        <v>8.2194749199999997</v>
      </c>
      <c r="BP188" s="4">
        <f t="shared" si="125"/>
        <v>-15.77711152</v>
      </c>
      <c r="BQ188">
        <f t="shared" si="126"/>
        <v>8.2194749199999997</v>
      </c>
      <c r="BR188">
        <f t="shared" si="127"/>
        <v>-15.77711152</v>
      </c>
      <c r="BS188">
        <f t="shared" si="106"/>
        <v>1.6706615595841093E-16</v>
      </c>
      <c r="BT188" s="4">
        <f t="shared" si="128"/>
        <v>0.29418182304666912</v>
      </c>
      <c r="BU188" s="1">
        <f t="shared" si="107"/>
        <v>1.643644148734682E-11</v>
      </c>
    </row>
    <row r="189" spans="1:73" x14ac:dyDescent="0.2">
      <c r="A189" s="31">
        <v>128</v>
      </c>
      <c r="B189" s="4">
        <f>INDEX('vapour permeability'!$A$1:$AZ$450,A189,$C$12*2-1)</f>
        <v>8.2194749199999997</v>
      </c>
      <c r="C189" s="4">
        <f>INDEX('vapour permeability'!$A$1:$AZ$450,A189,$C$12*2)</f>
        <v>-15.77711152</v>
      </c>
      <c r="D189" s="49"/>
      <c r="X189" s="13">
        <v>1</v>
      </c>
      <c r="AY189">
        <f t="shared" si="108"/>
        <v>0</v>
      </c>
      <c r="AZ189" s="5">
        <f t="shared" si="109"/>
        <v>804.6</v>
      </c>
      <c r="BA189" s="5">
        <f t="shared" si="110"/>
        <v>358603.25202561129</v>
      </c>
      <c r="BB189" s="29" t="e">
        <f t="shared" si="111"/>
        <v>#NUM!</v>
      </c>
      <c r="BC189" s="29" t="e">
        <f t="shared" si="112"/>
        <v>#NUM!</v>
      </c>
      <c r="BD189" s="29" t="e">
        <f t="shared" si="113"/>
        <v>#NUM!</v>
      </c>
      <c r="BE189" s="29">
        <f t="shared" si="114"/>
        <v>0</v>
      </c>
      <c r="BF189" s="5" t="e">
        <f t="shared" si="115"/>
        <v>#NUM!</v>
      </c>
      <c r="BG189" s="29" t="e">
        <f t="shared" si="116"/>
        <v>#NUM!</v>
      </c>
      <c r="BH189" s="29" t="e">
        <f t="shared" si="117"/>
        <v>#NUM!</v>
      </c>
      <c r="BI189" s="29">
        <f t="shared" si="118"/>
        <v>0</v>
      </c>
      <c r="BJ189" s="30" t="e">
        <f t="shared" si="119"/>
        <v>#NUM!</v>
      </c>
      <c r="BK189" s="29" t="e">
        <f t="shared" si="120"/>
        <v>#NUM!</v>
      </c>
      <c r="BL189" s="29" t="e">
        <f t="shared" si="121"/>
        <v>#NUM!</v>
      </c>
      <c r="BM189" s="29">
        <f t="shared" si="122"/>
        <v>0</v>
      </c>
      <c r="BN189" s="5" t="e">
        <f t="shared" si="123"/>
        <v>#NUM!</v>
      </c>
      <c r="BO189" s="4">
        <f t="shared" si="124"/>
        <v>8.2194749199999997</v>
      </c>
      <c r="BP189" s="4">
        <f t="shared" si="125"/>
        <v>-15.77711152</v>
      </c>
      <c r="BQ189">
        <f t="shared" si="126"/>
        <v>8.2194749199999997</v>
      </c>
      <c r="BR189">
        <f t="shared" si="127"/>
        <v>-15.77711152</v>
      </c>
      <c r="BS189">
        <f t="shared" si="106"/>
        <v>1.6706615595841093E-16</v>
      </c>
      <c r="BT189" s="4">
        <f t="shared" si="128"/>
        <v>0.29418182304666912</v>
      </c>
      <c r="BU189" s="1">
        <f t="shared" si="107"/>
        <v>1.643644148734682E-11</v>
      </c>
    </row>
    <row r="190" spans="1:73" x14ac:dyDescent="0.2">
      <c r="A190" s="31">
        <v>129</v>
      </c>
      <c r="B190" s="4">
        <f>INDEX('vapour permeability'!$A$1:$AZ$450,A190,$C$12*2-1)</f>
        <v>8.2194749199999997</v>
      </c>
      <c r="C190" s="4">
        <f>INDEX('vapour permeability'!$A$1:$AZ$450,A190,$C$12*2)</f>
        <v>-15.77711152</v>
      </c>
      <c r="D190" s="49"/>
      <c r="X190" s="13">
        <v>1</v>
      </c>
      <c r="AY190">
        <f t="shared" si="108"/>
        <v>0</v>
      </c>
      <c r="AZ190" s="5">
        <f t="shared" si="109"/>
        <v>804.6</v>
      </c>
      <c r="BA190" s="5">
        <f t="shared" si="110"/>
        <v>358603.25202561129</v>
      </c>
      <c r="BB190" s="29" t="e">
        <f t="shared" si="111"/>
        <v>#NUM!</v>
      </c>
      <c r="BC190" s="29" t="e">
        <f t="shared" si="112"/>
        <v>#NUM!</v>
      </c>
      <c r="BD190" s="29" t="e">
        <f t="shared" si="113"/>
        <v>#NUM!</v>
      </c>
      <c r="BE190" s="29">
        <f t="shared" si="114"/>
        <v>0</v>
      </c>
      <c r="BF190" s="5" t="e">
        <f t="shared" si="115"/>
        <v>#NUM!</v>
      </c>
      <c r="BG190" s="29" t="e">
        <f t="shared" si="116"/>
        <v>#NUM!</v>
      </c>
      <c r="BH190" s="29" t="e">
        <f t="shared" si="117"/>
        <v>#NUM!</v>
      </c>
      <c r="BI190" s="29">
        <f t="shared" si="118"/>
        <v>0</v>
      </c>
      <c r="BJ190" s="30" t="e">
        <f t="shared" si="119"/>
        <v>#NUM!</v>
      </c>
      <c r="BK190" s="29" t="e">
        <f t="shared" si="120"/>
        <v>#NUM!</v>
      </c>
      <c r="BL190" s="29" t="e">
        <f t="shared" si="121"/>
        <v>#NUM!</v>
      </c>
      <c r="BM190" s="29">
        <f t="shared" si="122"/>
        <v>0</v>
      </c>
      <c r="BN190" s="5" t="e">
        <f t="shared" si="123"/>
        <v>#NUM!</v>
      </c>
      <c r="BO190" s="4">
        <f t="shared" si="124"/>
        <v>8.2194749199999997</v>
      </c>
      <c r="BP190" s="4">
        <f t="shared" si="125"/>
        <v>-15.77711152</v>
      </c>
      <c r="BQ190">
        <f t="shared" si="126"/>
        <v>8.2194749199999997</v>
      </c>
      <c r="BR190">
        <f t="shared" si="127"/>
        <v>-15.77711152</v>
      </c>
      <c r="BS190">
        <f t="shared" si="106"/>
        <v>1.6706615595841093E-16</v>
      </c>
      <c r="BT190" s="4">
        <f t="shared" si="128"/>
        <v>0.29418182304666912</v>
      </c>
      <c r="BU190" s="1">
        <f t="shared" si="107"/>
        <v>1.643644148734682E-11</v>
      </c>
    </row>
    <row r="191" spans="1:73" x14ac:dyDescent="0.2">
      <c r="A191" s="31">
        <v>130</v>
      </c>
      <c r="B191" s="4">
        <f>INDEX('vapour permeability'!$A$1:$AZ$450,A191,$C$12*2-1)</f>
        <v>8.2194749199999997</v>
      </c>
      <c r="C191" s="4">
        <f>INDEX('vapour permeability'!$A$1:$AZ$450,A191,$C$12*2)</f>
        <v>-15.77711152</v>
      </c>
      <c r="D191" s="49"/>
      <c r="X191" s="13">
        <v>1</v>
      </c>
      <c r="AY191">
        <f t="shared" si="108"/>
        <v>0</v>
      </c>
      <c r="AZ191" s="5">
        <f t="shared" si="109"/>
        <v>804.6</v>
      </c>
      <c r="BA191" s="5">
        <f t="shared" si="110"/>
        <v>358603.25202561129</v>
      </c>
      <c r="BB191" s="29" t="e">
        <f t="shared" si="111"/>
        <v>#NUM!</v>
      </c>
      <c r="BC191" s="29" t="e">
        <f t="shared" si="112"/>
        <v>#NUM!</v>
      </c>
      <c r="BD191" s="29" t="e">
        <f t="shared" si="113"/>
        <v>#NUM!</v>
      </c>
      <c r="BE191" s="29">
        <f t="shared" si="114"/>
        <v>0</v>
      </c>
      <c r="BF191" s="5" t="e">
        <f t="shared" si="115"/>
        <v>#NUM!</v>
      </c>
      <c r="BG191" s="29" t="e">
        <f t="shared" si="116"/>
        <v>#NUM!</v>
      </c>
      <c r="BH191" s="29" t="e">
        <f t="shared" si="117"/>
        <v>#NUM!</v>
      </c>
      <c r="BI191" s="29">
        <f t="shared" si="118"/>
        <v>0</v>
      </c>
      <c r="BJ191" s="30" t="e">
        <f t="shared" si="119"/>
        <v>#NUM!</v>
      </c>
      <c r="BK191" s="29" t="e">
        <f t="shared" si="120"/>
        <v>#NUM!</v>
      </c>
      <c r="BL191" s="29" t="e">
        <f t="shared" si="121"/>
        <v>#NUM!</v>
      </c>
      <c r="BM191" s="29">
        <f t="shared" si="122"/>
        <v>0</v>
      </c>
      <c r="BN191" s="5" t="e">
        <f t="shared" si="123"/>
        <v>#NUM!</v>
      </c>
      <c r="BO191" s="4">
        <f t="shared" si="124"/>
        <v>8.2194749199999997</v>
      </c>
      <c r="BP191" s="4">
        <f t="shared" si="125"/>
        <v>-15.77711152</v>
      </c>
      <c r="BQ191">
        <f t="shared" si="126"/>
        <v>8.2194749199999997</v>
      </c>
      <c r="BR191">
        <f t="shared" si="127"/>
        <v>-15.77711152</v>
      </c>
      <c r="BS191">
        <f t="shared" si="106"/>
        <v>1.6706615595841093E-16</v>
      </c>
      <c r="BT191" s="4">
        <f t="shared" si="128"/>
        <v>0.29418182304666912</v>
      </c>
      <c r="BU191" s="1">
        <f t="shared" si="107"/>
        <v>1.643644148734682E-11</v>
      </c>
    </row>
    <row r="192" spans="1:73" x14ac:dyDescent="0.2">
      <c r="A192" s="31">
        <v>131</v>
      </c>
      <c r="B192" s="4">
        <f>INDEX('vapour permeability'!$A$1:$AZ$450,A192,$C$12*2-1)</f>
        <v>8.2194749199999997</v>
      </c>
      <c r="C192" s="4">
        <f>INDEX('vapour permeability'!$A$1:$AZ$450,A192,$C$12*2)</f>
        <v>-15.77711152</v>
      </c>
      <c r="D192" s="49"/>
      <c r="X192" s="13">
        <v>1</v>
      </c>
      <c r="AY192">
        <f t="shared" si="108"/>
        <v>0</v>
      </c>
      <c r="AZ192" s="5">
        <f t="shared" si="109"/>
        <v>804.6</v>
      </c>
      <c r="BA192" s="5">
        <f t="shared" si="110"/>
        <v>358603.25202561129</v>
      </c>
      <c r="BB192" s="29" t="e">
        <f t="shared" si="111"/>
        <v>#NUM!</v>
      </c>
      <c r="BC192" s="29" t="e">
        <f t="shared" si="112"/>
        <v>#NUM!</v>
      </c>
      <c r="BD192" s="29" t="e">
        <f t="shared" si="113"/>
        <v>#NUM!</v>
      </c>
      <c r="BE192" s="29">
        <f t="shared" si="114"/>
        <v>0</v>
      </c>
      <c r="BF192" s="5" t="e">
        <f t="shared" si="115"/>
        <v>#NUM!</v>
      </c>
      <c r="BG192" s="29" t="e">
        <f t="shared" si="116"/>
        <v>#NUM!</v>
      </c>
      <c r="BH192" s="29" t="e">
        <f t="shared" si="117"/>
        <v>#NUM!</v>
      </c>
      <c r="BI192" s="29">
        <f t="shared" si="118"/>
        <v>0</v>
      </c>
      <c r="BJ192" s="30" t="e">
        <f t="shared" si="119"/>
        <v>#NUM!</v>
      </c>
      <c r="BK192" s="29" t="e">
        <f t="shared" si="120"/>
        <v>#NUM!</v>
      </c>
      <c r="BL192" s="29" t="e">
        <f t="shared" si="121"/>
        <v>#NUM!</v>
      </c>
      <c r="BM192" s="29">
        <f t="shared" si="122"/>
        <v>0</v>
      </c>
      <c r="BN192" s="5" t="e">
        <f t="shared" si="123"/>
        <v>#NUM!</v>
      </c>
      <c r="BO192" s="4">
        <f t="shared" si="124"/>
        <v>8.2194749199999997</v>
      </c>
      <c r="BP192" s="4">
        <f t="shared" si="125"/>
        <v>-15.77711152</v>
      </c>
      <c r="BQ192">
        <f t="shared" si="126"/>
        <v>8.2194749199999997</v>
      </c>
      <c r="BR192">
        <f t="shared" si="127"/>
        <v>-15.77711152</v>
      </c>
      <c r="BS192">
        <f t="shared" si="106"/>
        <v>1.6706615595841093E-16</v>
      </c>
      <c r="BT192" s="4">
        <f t="shared" si="128"/>
        <v>0.29418182304666912</v>
      </c>
      <c r="BU192" s="1">
        <f t="shared" si="107"/>
        <v>1.643644148734682E-11</v>
      </c>
    </row>
    <row r="193" spans="1:73" x14ac:dyDescent="0.2">
      <c r="A193" s="31">
        <v>132</v>
      </c>
      <c r="B193" s="4">
        <f>INDEX('vapour permeability'!$A$1:$AZ$450,A193,$C$12*2-1)</f>
        <v>8.2194749199999997</v>
      </c>
      <c r="C193" s="4">
        <f>INDEX('vapour permeability'!$A$1:$AZ$450,A193,$C$12*2)</f>
        <v>-15.77711152</v>
      </c>
      <c r="D193" s="49"/>
      <c r="X193" s="13">
        <v>1</v>
      </c>
      <c r="AY193">
        <f t="shared" si="108"/>
        <v>0</v>
      </c>
      <c r="AZ193" s="5">
        <f t="shared" si="109"/>
        <v>804.6</v>
      </c>
      <c r="BA193" s="5">
        <f t="shared" si="110"/>
        <v>358603.25202561129</v>
      </c>
      <c r="BB193" s="29" t="e">
        <f t="shared" si="111"/>
        <v>#NUM!</v>
      </c>
      <c r="BC193" s="29" t="e">
        <f t="shared" si="112"/>
        <v>#NUM!</v>
      </c>
      <c r="BD193" s="29" t="e">
        <f t="shared" si="113"/>
        <v>#NUM!</v>
      </c>
      <c r="BE193" s="29">
        <f t="shared" si="114"/>
        <v>0</v>
      </c>
      <c r="BF193" s="5" t="e">
        <f t="shared" si="115"/>
        <v>#NUM!</v>
      </c>
      <c r="BG193" s="29" t="e">
        <f t="shared" si="116"/>
        <v>#NUM!</v>
      </c>
      <c r="BH193" s="29" t="e">
        <f t="shared" si="117"/>
        <v>#NUM!</v>
      </c>
      <c r="BI193" s="29">
        <f t="shared" si="118"/>
        <v>0</v>
      </c>
      <c r="BJ193" s="30" t="e">
        <f t="shared" si="119"/>
        <v>#NUM!</v>
      </c>
      <c r="BK193" s="29" t="e">
        <f t="shared" si="120"/>
        <v>#NUM!</v>
      </c>
      <c r="BL193" s="29" t="e">
        <f t="shared" si="121"/>
        <v>#NUM!</v>
      </c>
      <c r="BM193" s="29">
        <f t="shared" si="122"/>
        <v>0</v>
      </c>
      <c r="BN193" s="5" t="e">
        <f t="shared" si="123"/>
        <v>#NUM!</v>
      </c>
      <c r="BO193" s="4">
        <f t="shared" si="124"/>
        <v>8.2194749199999997</v>
      </c>
      <c r="BP193" s="4">
        <f t="shared" si="125"/>
        <v>-15.77711152</v>
      </c>
      <c r="BQ193">
        <f t="shared" si="126"/>
        <v>8.2194749199999997</v>
      </c>
      <c r="BR193">
        <f t="shared" si="127"/>
        <v>-15.77711152</v>
      </c>
      <c r="BS193">
        <f t="shared" si="106"/>
        <v>1.6706615595841093E-16</v>
      </c>
      <c r="BT193" s="4">
        <f t="shared" si="128"/>
        <v>0.29418182304666912</v>
      </c>
      <c r="BU193" s="1">
        <f t="shared" si="107"/>
        <v>1.643644148734682E-11</v>
      </c>
    </row>
    <row r="194" spans="1:73" x14ac:dyDescent="0.2">
      <c r="A194" s="31">
        <v>133</v>
      </c>
      <c r="B194" s="4">
        <f>INDEX('vapour permeability'!$A$1:$AZ$450,A194,$C$12*2-1)</f>
        <v>8.2194749199999997</v>
      </c>
      <c r="C194" s="4">
        <f>INDEX('vapour permeability'!$A$1:$AZ$450,A194,$C$12*2)</f>
        <v>-15.77711152</v>
      </c>
      <c r="D194" s="49"/>
      <c r="X194" s="13">
        <v>1</v>
      </c>
      <c r="AY194">
        <f t="shared" si="108"/>
        <v>0</v>
      </c>
      <c r="AZ194" s="5">
        <f t="shared" si="109"/>
        <v>804.6</v>
      </c>
      <c r="BA194" s="5">
        <f t="shared" si="110"/>
        <v>358603.25202561129</v>
      </c>
      <c r="BB194" s="29" t="e">
        <f t="shared" si="111"/>
        <v>#NUM!</v>
      </c>
      <c r="BC194" s="29" t="e">
        <f t="shared" si="112"/>
        <v>#NUM!</v>
      </c>
      <c r="BD194" s="29" t="e">
        <f t="shared" si="113"/>
        <v>#NUM!</v>
      </c>
      <c r="BE194" s="29">
        <f t="shared" si="114"/>
        <v>0</v>
      </c>
      <c r="BF194" s="5" t="e">
        <f t="shared" si="115"/>
        <v>#NUM!</v>
      </c>
      <c r="BG194" s="29" t="e">
        <f t="shared" si="116"/>
        <v>#NUM!</v>
      </c>
      <c r="BH194" s="29" t="e">
        <f t="shared" si="117"/>
        <v>#NUM!</v>
      </c>
      <c r="BI194" s="29">
        <f t="shared" si="118"/>
        <v>0</v>
      </c>
      <c r="BJ194" s="30" t="e">
        <f t="shared" si="119"/>
        <v>#NUM!</v>
      </c>
      <c r="BK194" s="29" t="e">
        <f t="shared" si="120"/>
        <v>#NUM!</v>
      </c>
      <c r="BL194" s="29" t="e">
        <f t="shared" si="121"/>
        <v>#NUM!</v>
      </c>
      <c r="BM194" s="29">
        <f t="shared" si="122"/>
        <v>0</v>
      </c>
      <c r="BN194" s="5" t="e">
        <f t="shared" si="123"/>
        <v>#NUM!</v>
      </c>
      <c r="BO194" s="4">
        <f t="shared" si="124"/>
        <v>8.2194749199999997</v>
      </c>
      <c r="BP194" s="4">
        <f t="shared" si="125"/>
        <v>-15.77711152</v>
      </c>
      <c r="BQ194">
        <f t="shared" si="126"/>
        <v>8.2194749199999997</v>
      </c>
      <c r="BR194">
        <f t="shared" si="127"/>
        <v>-15.77711152</v>
      </c>
      <c r="BS194">
        <f t="shared" si="106"/>
        <v>1.6706615595841093E-16</v>
      </c>
      <c r="BT194" s="4">
        <f t="shared" si="128"/>
        <v>0.29418182304666912</v>
      </c>
      <c r="BU194" s="1">
        <f t="shared" si="107"/>
        <v>1.643644148734682E-11</v>
      </c>
    </row>
    <row r="195" spans="1:73" x14ac:dyDescent="0.2">
      <c r="A195" s="31">
        <v>134</v>
      </c>
      <c r="B195" s="4">
        <f>INDEX('vapour permeability'!$A$1:$AZ$450,A195,$C$12*2-1)</f>
        <v>8.2194749199999997</v>
      </c>
      <c r="C195" s="4">
        <f>INDEX('vapour permeability'!$A$1:$AZ$450,A195,$C$12*2)</f>
        <v>-15.77711152</v>
      </c>
      <c r="D195" s="49"/>
      <c r="X195" s="13">
        <v>1</v>
      </c>
      <c r="AY195">
        <f t="shared" si="108"/>
        <v>0</v>
      </c>
      <c r="AZ195" s="5">
        <f t="shared" si="109"/>
        <v>804.6</v>
      </c>
      <c r="BA195" s="5">
        <f t="shared" si="110"/>
        <v>358603.25202561129</v>
      </c>
      <c r="BB195" s="29" t="e">
        <f t="shared" si="111"/>
        <v>#NUM!</v>
      </c>
      <c r="BC195" s="29" t="e">
        <f t="shared" si="112"/>
        <v>#NUM!</v>
      </c>
      <c r="BD195" s="29" t="e">
        <f t="shared" si="113"/>
        <v>#NUM!</v>
      </c>
      <c r="BE195" s="29">
        <f t="shared" si="114"/>
        <v>0</v>
      </c>
      <c r="BF195" s="5" t="e">
        <f t="shared" si="115"/>
        <v>#NUM!</v>
      </c>
      <c r="BG195" s="29" t="e">
        <f t="shared" si="116"/>
        <v>#NUM!</v>
      </c>
      <c r="BH195" s="29" t="e">
        <f t="shared" si="117"/>
        <v>#NUM!</v>
      </c>
      <c r="BI195" s="29">
        <f t="shared" si="118"/>
        <v>0</v>
      </c>
      <c r="BJ195" s="30" t="e">
        <f t="shared" si="119"/>
        <v>#NUM!</v>
      </c>
      <c r="BK195" s="29" t="e">
        <f t="shared" si="120"/>
        <v>#NUM!</v>
      </c>
      <c r="BL195" s="29" t="e">
        <f t="shared" si="121"/>
        <v>#NUM!</v>
      </c>
      <c r="BM195" s="29">
        <f t="shared" si="122"/>
        <v>0</v>
      </c>
      <c r="BN195" s="5" t="e">
        <f t="shared" si="123"/>
        <v>#NUM!</v>
      </c>
      <c r="BO195" s="4">
        <f t="shared" si="124"/>
        <v>8.2194749199999997</v>
      </c>
      <c r="BP195" s="4">
        <f t="shared" si="125"/>
        <v>-15.77711152</v>
      </c>
      <c r="BQ195">
        <f t="shared" si="126"/>
        <v>8.2194749199999997</v>
      </c>
      <c r="BR195">
        <f t="shared" si="127"/>
        <v>-15.77711152</v>
      </c>
      <c r="BS195">
        <f t="shared" si="106"/>
        <v>1.6706615595841093E-16</v>
      </c>
      <c r="BT195" s="4">
        <f t="shared" si="128"/>
        <v>0.29418182304666912</v>
      </c>
      <c r="BU195" s="1">
        <f t="shared" si="107"/>
        <v>1.643644148734682E-11</v>
      </c>
    </row>
    <row r="196" spans="1:73" x14ac:dyDescent="0.2">
      <c r="A196" s="31">
        <v>135</v>
      </c>
      <c r="B196" s="4">
        <f>INDEX('vapour permeability'!$A$1:$AZ$450,A196,$C$12*2-1)</f>
        <v>8.2194749199999997</v>
      </c>
      <c r="C196" s="4">
        <f>INDEX('vapour permeability'!$A$1:$AZ$450,A196,$C$12*2)</f>
        <v>-15.77711152</v>
      </c>
      <c r="D196" s="49"/>
      <c r="X196" s="13">
        <v>1</v>
      </c>
      <c r="AY196">
        <f t="shared" si="108"/>
        <v>0</v>
      </c>
      <c r="AZ196" s="5">
        <f t="shared" si="109"/>
        <v>804.6</v>
      </c>
      <c r="BA196" s="5">
        <f t="shared" si="110"/>
        <v>358603.25202561129</v>
      </c>
      <c r="BB196" s="29" t="e">
        <f t="shared" si="111"/>
        <v>#NUM!</v>
      </c>
      <c r="BC196" s="29" t="e">
        <f t="shared" si="112"/>
        <v>#NUM!</v>
      </c>
      <c r="BD196" s="29" t="e">
        <f t="shared" si="113"/>
        <v>#NUM!</v>
      </c>
      <c r="BE196" s="29">
        <f t="shared" si="114"/>
        <v>0</v>
      </c>
      <c r="BF196" s="5" t="e">
        <f t="shared" si="115"/>
        <v>#NUM!</v>
      </c>
      <c r="BG196" s="29" t="e">
        <f t="shared" si="116"/>
        <v>#NUM!</v>
      </c>
      <c r="BH196" s="29" t="e">
        <f t="shared" si="117"/>
        <v>#NUM!</v>
      </c>
      <c r="BI196" s="29">
        <f t="shared" si="118"/>
        <v>0</v>
      </c>
      <c r="BJ196" s="30" t="e">
        <f t="shared" si="119"/>
        <v>#NUM!</v>
      </c>
      <c r="BK196" s="29" t="e">
        <f t="shared" si="120"/>
        <v>#NUM!</v>
      </c>
      <c r="BL196" s="29" t="e">
        <f t="shared" si="121"/>
        <v>#NUM!</v>
      </c>
      <c r="BM196" s="29">
        <f t="shared" si="122"/>
        <v>0</v>
      </c>
      <c r="BN196" s="5" t="e">
        <f t="shared" si="123"/>
        <v>#NUM!</v>
      </c>
      <c r="BO196" s="4">
        <f t="shared" si="124"/>
        <v>8.2194749199999997</v>
      </c>
      <c r="BP196" s="4">
        <f t="shared" si="125"/>
        <v>-15.77711152</v>
      </c>
      <c r="BQ196">
        <f t="shared" si="126"/>
        <v>8.2194749199999997</v>
      </c>
      <c r="BR196">
        <f t="shared" si="127"/>
        <v>-15.77711152</v>
      </c>
      <c r="BS196">
        <f t="shared" si="106"/>
        <v>1.6706615595841093E-16</v>
      </c>
      <c r="BT196" s="4">
        <f t="shared" si="128"/>
        <v>0.29418182304666912</v>
      </c>
      <c r="BU196" s="1">
        <f t="shared" si="107"/>
        <v>1.643644148734682E-11</v>
      </c>
    </row>
    <row r="197" spans="1:73" x14ac:dyDescent="0.2">
      <c r="A197" s="31">
        <v>136</v>
      </c>
      <c r="B197" s="4">
        <f>INDEX('vapour permeability'!$A$1:$AZ$450,A197,$C$12*2-1)</f>
        <v>8.2194749199999997</v>
      </c>
      <c r="C197" s="4">
        <f>INDEX('vapour permeability'!$A$1:$AZ$450,A197,$C$12*2)</f>
        <v>-15.77711152</v>
      </c>
      <c r="D197" s="49"/>
      <c r="X197" s="13">
        <v>1</v>
      </c>
      <c r="AY197">
        <f t="shared" si="108"/>
        <v>0</v>
      </c>
      <c r="AZ197" s="5">
        <f t="shared" si="109"/>
        <v>804.6</v>
      </c>
      <c r="BA197" s="5">
        <f t="shared" si="110"/>
        <v>358603.25202561129</v>
      </c>
      <c r="BB197" s="29" t="e">
        <f t="shared" si="111"/>
        <v>#NUM!</v>
      </c>
      <c r="BC197" s="29" t="e">
        <f t="shared" si="112"/>
        <v>#NUM!</v>
      </c>
      <c r="BD197" s="29" t="e">
        <f t="shared" si="113"/>
        <v>#NUM!</v>
      </c>
      <c r="BE197" s="29">
        <f t="shared" si="114"/>
        <v>0</v>
      </c>
      <c r="BF197" s="5" t="e">
        <f t="shared" si="115"/>
        <v>#NUM!</v>
      </c>
      <c r="BG197" s="29" t="e">
        <f t="shared" si="116"/>
        <v>#NUM!</v>
      </c>
      <c r="BH197" s="29" t="e">
        <f t="shared" si="117"/>
        <v>#NUM!</v>
      </c>
      <c r="BI197" s="29">
        <f t="shared" si="118"/>
        <v>0</v>
      </c>
      <c r="BJ197" s="30" t="e">
        <f t="shared" si="119"/>
        <v>#NUM!</v>
      </c>
      <c r="BK197" s="29" t="e">
        <f t="shared" si="120"/>
        <v>#NUM!</v>
      </c>
      <c r="BL197" s="29" t="e">
        <f t="shared" si="121"/>
        <v>#NUM!</v>
      </c>
      <c r="BM197" s="29">
        <f t="shared" si="122"/>
        <v>0</v>
      </c>
      <c r="BN197" s="5" t="e">
        <f t="shared" si="123"/>
        <v>#NUM!</v>
      </c>
      <c r="BO197" s="4">
        <f t="shared" si="124"/>
        <v>8.2194749199999997</v>
      </c>
      <c r="BP197" s="4">
        <f t="shared" si="125"/>
        <v>-15.77711152</v>
      </c>
      <c r="BQ197">
        <f t="shared" si="126"/>
        <v>8.2194749199999997</v>
      </c>
      <c r="BR197">
        <f t="shared" si="127"/>
        <v>-15.77711152</v>
      </c>
      <c r="BS197">
        <f t="shared" si="106"/>
        <v>1.6706615595841093E-16</v>
      </c>
      <c r="BT197" s="4">
        <f t="shared" si="128"/>
        <v>0.29418182304666912</v>
      </c>
      <c r="BU197" s="1">
        <f t="shared" si="107"/>
        <v>1.643644148734682E-11</v>
      </c>
    </row>
    <row r="198" spans="1:73" x14ac:dyDescent="0.2">
      <c r="A198" s="31">
        <v>137</v>
      </c>
      <c r="B198" s="4">
        <f>INDEX('vapour permeability'!$A$1:$AZ$450,A198,$C$12*2-1)</f>
        <v>8.2194749199999997</v>
      </c>
      <c r="C198" s="4">
        <f>INDEX('vapour permeability'!$A$1:$AZ$450,A198,$C$12*2)</f>
        <v>-15.77711152</v>
      </c>
      <c r="D198" s="49"/>
      <c r="X198" s="13">
        <v>1</v>
      </c>
      <c r="AY198">
        <f t="shared" si="108"/>
        <v>0</v>
      </c>
      <c r="AZ198" s="5">
        <f t="shared" si="109"/>
        <v>804.6</v>
      </c>
      <c r="BA198" s="5">
        <f t="shared" si="110"/>
        <v>358603.25202561129</v>
      </c>
      <c r="BB198" s="29" t="e">
        <f t="shared" si="111"/>
        <v>#NUM!</v>
      </c>
      <c r="BC198" s="29" t="e">
        <f t="shared" si="112"/>
        <v>#NUM!</v>
      </c>
      <c r="BD198" s="29" t="e">
        <f t="shared" si="113"/>
        <v>#NUM!</v>
      </c>
      <c r="BE198" s="29">
        <f t="shared" si="114"/>
        <v>0</v>
      </c>
      <c r="BF198" s="5" t="e">
        <f t="shared" si="115"/>
        <v>#NUM!</v>
      </c>
      <c r="BG198" s="29" t="e">
        <f t="shared" si="116"/>
        <v>#NUM!</v>
      </c>
      <c r="BH198" s="29" t="e">
        <f t="shared" si="117"/>
        <v>#NUM!</v>
      </c>
      <c r="BI198" s="29">
        <f t="shared" si="118"/>
        <v>0</v>
      </c>
      <c r="BJ198" s="30" t="e">
        <f t="shared" si="119"/>
        <v>#NUM!</v>
      </c>
      <c r="BK198" s="29" t="e">
        <f t="shared" si="120"/>
        <v>#NUM!</v>
      </c>
      <c r="BL198" s="29" t="e">
        <f t="shared" si="121"/>
        <v>#NUM!</v>
      </c>
      <c r="BM198" s="29">
        <f t="shared" si="122"/>
        <v>0</v>
      </c>
      <c r="BN198" s="5" t="e">
        <f t="shared" si="123"/>
        <v>#NUM!</v>
      </c>
      <c r="BO198" s="4">
        <f t="shared" si="124"/>
        <v>8.2194749199999997</v>
      </c>
      <c r="BP198" s="4">
        <f t="shared" si="125"/>
        <v>-15.77711152</v>
      </c>
      <c r="BQ198">
        <f t="shared" si="126"/>
        <v>8.2194749199999997</v>
      </c>
      <c r="BR198">
        <f t="shared" si="127"/>
        <v>-15.77711152</v>
      </c>
      <c r="BS198">
        <f t="shared" si="106"/>
        <v>1.6706615595841093E-16</v>
      </c>
      <c r="BT198" s="4">
        <f t="shared" si="128"/>
        <v>0.29418182304666912</v>
      </c>
      <c r="BU198" s="1">
        <f t="shared" si="107"/>
        <v>1.643644148734682E-11</v>
      </c>
    </row>
    <row r="199" spans="1:73" x14ac:dyDescent="0.2">
      <c r="A199" s="31">
        <v>138</v>
      </c>
      <c r="B199" s="4">
        <f>INDEX('vapour permeability'!$A$1:$AZ$450,A199,$C$12*2-1)</f>
        <v>8.2194749199999997</v>
      </c>
      <c r="C199" s="4">
        <f>INDEX('vapour permeability'!$A$1:$AZ$450,A199,$C$12*2)</f>
        <v>-15.77711152</v>
      </c>
      <c r="D199" s="49"/>
      <c r="X199" s="13">
        <v>1</v>
      </c>
      <c r="AY199">
        <f t="shared" si="108"/>
        <v>0</v>
      </c>
      <c r="AZ199" s="5">
        <f t="shared" si="109"/>
        <v>804.6</v>
      </c>
      <c r="BA199" s="5">
        <f t="shared" si="110"/>
        <v>358603.25202561129</v>
      </c>
      <c r="BB199" s="29" t="e">
        <f t="shared" si="111"/>
        <v>#NUM!</v>
      </c>
      <c r="BC199" s="29" t="e">
        <f t="shared" si="112"/>
        <v>#NUM!</v>
      </c>
      <c r="BD199" s="29" t="e">
        <f t="shared" si="113"/>
        <v>#NUM!</v>
      </c>
      <c r="BE199" s="29">
        <f t="shared" si="114"/>
        <v>0</v>
      </c>
      <c r="BF199" s="5" t="e">
        <f t="shared" si="115"/>
        <v>#NUM!</v>
      </c>
      <c r="BG199" s="29" t="e">
        <f t="shared" si="116"/>
        <v>#NUM!</v>
      </c>
      <c r="BH199" s="29" t="e">
        <f t="shared" si="117"/>
        <v>#NUM!</v>
      </c>
      <c r="BI199" s="29">
        <f t="shared" si="118"/>
        <v>0</v>
      </c>
      <c r="BJ199" s="30" t="e">
        <f t="shared" si="119"/>
        <v>#NUM!</v>
      </c>
      <c r="BK199" s="29" t="e">
        <f t="shared" si="120"/>
        <v>#NUM!</v>
      </c>
      <c r="BL199" s="29" t="e">
        <f t="shared" si="121"/>
        <v>#NUM!</v>
      </c>
      <c r="BM199" s="29">
        <f t="shared" si="122"/>
        <v>0</v>
      </c>
      <c r="BN199" s="5" t="e">
        <f t="shared" si="123"/>
        <v>#NUM!</v>
      </c>
      <c r="BO199" s="4">
        <f t="shared" ref="BO199:BP206" si="129">B256</f>
        <v>8.2194749199999997</v>
      </c>
      <c r="BP199" s="4">
        <f t="shared" si="129"/>
        <v>-15.77711152</v>
      </c>
      <c r="BQ199">
        <f t="shared" ref="BQ199:BQ206" si="130">IF(C$48=4,BO199,Z199)</f>
        <v>8.2194749199999997</v>
      </c>
      <c r="BR199">
        <f t="shared" ref="BR199:BR206" si="131">IF(C$48=1,AY199,IF(C$48=2,BA199,IF(C$48=3,BN199,BP199)))</f>
        <v>-15.77711152</v>
      </c>
      <c r="BS199">
        <f t="shared" si="106"/>
        <v>1.6706615595841093E-16</v>
      </c>
      <c r="BT199" s="4">
        <f t="shared" ref="BT199:BT206" si="132">IF(C$48=4,EXP(-(10^BQ199)/(($C$9+273.3)*$C$10*$C$11)),X199)</f>
        <v>0.29418182304666912</v>
      </c>
      <c r="BU199" s="1">
        <f t="shared" si="107"/>
        <v>1.643644148734682E-11</v>
      </c>
    </row>
    <row r="200" spans="1:73" x14ac:dyDescent="0.2">
      <c r="A200" s="31">
        <v>139</v>
      </c>
      <c r="B200" s="4">
        <f>INDEX('vapour permeability'!$A$1:$AZ$450,A200,$C$12*2-1)</f>
        <v>8.2194749199999997</v>
      </c>
      <c r="C200" s="4">
        <f>INDEX('vapour permeability'!$A$1:$AZ$450,A200,$C$12*2)</f>
        <v>-15.77711152</v>
      </c>
      <c r="D200" s="49"/>
      <c r="X200" s="13">
        <v>1</v>
      </c>
      <c r="AY200">
        <f t="shared" si="108"/>
        <v>0</v>
      </c>
      <c r="AZ200" s="5">
        <f t="shared" si="109"/>
        <v>804.6</v>
      </c>
      <c r="BA200" s="5">
        <f t="shared" si="110"/>
        <v>358603.25202561129</v>
      </c>
      <c r="BB200" s="29" t="e">
        <f t="shared" si="111"/>
        <v>#NUM!</v>
      </c>
      <c r="BC200" s="29" t="e">
        <f t="shared" si="112"/>
        <v>#NUM!</v>
      </c>
      <c r="BD200" s="29" t="e">
        <f t="shared" si="113"/>
        <v>#NUM!</v>
      </c>
      <c r="BE200" s="29">
        <f t="shared" si="114"/>
        <v>0</v>
      </c>
      <c r="BF200" s="5" t="e">
        <f t="shared" si="115"/>
        <v>#NUM!</v>
      </c>
      <c r="BG200" s="29" t="e">
        <f t="shared" si="116"/>
        <v>#NUM!</v>
      </c>
      <c r="BH200" s="29" t="e">
        <f t="shared" si="117"/>
        <v>#NUM!</v>
      </c>
      <c r="BI200" s="29">
        <f t="shared" si="118"/>
        <v>0</v>
      </c>
      <c r="BJ200" s="30" t="e">
        <f t="shared" si="119"/>
        <v>#NUM!</v>
      </c>
      <c r="BK200" s="29" t="e">
        <f t="shared" si="120"/>
        <v>#NUM!</v>
      </c>
      <c r="BL200" s="29" t="e">
        <f t="shared" si="121"/>
        <v>#NUM!</v>
      </c>
      <c r="BM200" s="29">
        <f t="shared" si="122"/>
        <v>0</v>
      </c>
      <c r="BN200" s="5" t="e">
        <f t="shared" si="123"/>
        <v>#NUM!</v>
      </c>
      <c r="BO200" s="4">
        <f t="shared" si="129"/>
        <v>8.2194749199999997</v>
      </c>
      <c r="BP200" s="4">
        <f t="shared" si="129"/>
        <v>-15.77711152</v>
      </c>
      <c r="BQ200">
        <f t="shared" si="130"/>
        <v>8.2194749199999997</v>
      </c>
      <c r="BR200">
        <f t="shared" si="131"/>
        <v>-15.77711152</v>
      </c>
      <c r="BS200">
        <f t="shared" ref="BS200:BS206" si="133">10^BR200</f>
        <v>1.6706615595841093E-16</v>
      </c>
      <c r="BT200" s="4">
        <f t="shared" si="132"/>
        <v>0.29418182304666912</v>
      </c>
      <c r="BU200" s="1">
        <f t="shared" si="107"/>
        <v>1.643644148734682E-11</v>
      </c>
    </row>
    <row r="201" spans="1:73" x14ac:dyDescent="0.2">
      <c r="A201" s="31">
        <v>140</v>
      </c>
      <c r="B201" s="4">
        <f>INDEX('vapour permeability'!$A$1:$AZ$450,A201,$C$12*2-1)</f>
        <v>8.2194749199999997</v>
      </c>
      <c r="C201" s="4">
        <f>INDEX('vapour permeability'!$A$1:$AZ$450,A201,$C$12*2)</f>
        <v>-15.77711152</v>
      </c>
      <c r="D201" s="49"/>
      <c r="X201" s="13">
        <v>1</v>
      </c>
      <c r="AY201">
        <f t="shared" si="108"/>
        <v>0</v>
      </c>
      <c r="AZ201" s="5">
        <f t="shared" si="109"/>
        <v>804.6</v>
      </c>
      <c r="BA201" s="5">
        <f t="shared" si="110"/>
        <v>358603.25202561129</v>
      </c>
      <c r="BB201" s="29" t="e">
        <f t="shared" si="111"/>
        <v>#NUM!</v>
      </c>
      <c r="BC201" s="29" t="e">
        <f t="shared" si="112"/>
        <v>#NUM!</v>
      </c>
      <c r="BD201" s="29" t="e">
        <f t="shared" si="113"/>
        <v>#NUM!</v>
      </c>
      <c r="BE201" s="29">
        <f t="shared" si="114"/>
        <v>0</v>
      </c>
      <c r="BF201" s="5" t="e">
        <f t="shared" si="115"/>
        <v>#NUM!</v>
      </c>
      <c r="BG201" s="29" t="e">
        <f t="shared" si="116"/>
        <v>#NUM!</v>
      </c>
      <c r="BH201" s="29" t="e">
        <f t="shared" si="117"/>
        <v>#NUM!</v>
      </c>
      <c r="BI201" s="29">
        <f t="shared" si="118"/>
        <v>0</v>
      </c>
      <c r="BJ201" s="30" t="e">
        <f t="shared" si="119"/>
        <v>#NUM!</v>
      </c>
      <c r="BK201" s="29" t="e">
        <f t="shared" si="120"/>
        <v>#NUM!</v>
      </c>
      <c r="BL201" s="29" t="e">
        <f t="shared" si="121"/>
        <v>#NUM!</v>
      </c>
      <c r="BM201" s="29">
        <f t="shared" si="122"/>
        <v>0</v>
      </c>
      <c r="BN201" s="5" t="e">
        <f t="shared" si="123"/>
        <v>#NUM!</v>
      </c>
      <c r="BO201" s="4">
        <f t="shared" si="129"/>
        <v>8.2194749199999997</v>
      </c>
      <c r="BP201" s="4">
        <f t="shared" si="129"/>
        <v>-15.77711152</v>
      </c>
      <c r="BQ201">
        <f t="shared" si="130"/>
        <v>8.2194749199999997</v>
      </c>
      <c r="BR201">
        <f t="shared" si="131"/>
        <v>-15.77711152</v>
      </c>
      <c r="BS201">
        <f t="shared" si="133"/>
        <v>1.6706615595841093E-16</v>
      </c>
      <c r="BT201" s="4">
        <f t="shared" si="132"/>
        <v>0.29418182304666912</v>
      </c>
      <c r="BU201" s="1">
        <f t="shared" si="107"/>
        <v>1.643644148734682E-11</v>
      </c>
    </row>
    <row r="202" spans="1:73" x14ac:dyDescent="0.2">
      <c r="A202" s="31">
        <v>141</v>
      </c>
      <c r="B202" s="4">
        <f>INDEX('vapour permeability'!$A$1:$AZ$450,A202,$C$12*2-1)</f>
        <v>8.2194749199999997</v>
      </c>
      <c r="C202" s="4">
        <f>INDEX('vapour permeability'!$A$1:$AZ$450,A202,$C$12*2)</f>
        <v>-15.77711152</v>
      </c>
      <c r="D202" s="49"/>
      <c r="X202" s="13">
        <v>1</v>
      </c>
      <c r="AY202">
        <f t="shared" si="108"/>
        <v>0</v>
      </c>
      <c r="AZ202" s="5">
        <f t="shared" si="109"/>
        <v>804.6</v>
      </c>
      <c r="BA202" s="5">
        <f t="shared" si="110"/>
        <v>358603.25202561129</v>
      </c>
      <c r="BB202" s="29" t="e">
        <f t="shared" si="111"/>
        <v>#NUM!</v>
      </c>
      <c r="BC202" s="29" t="e">
        <f t="shared" si="112"/>
        <v>#NUM!</v>
      </c>
      <c r="BD202" s="29" t="e">
        <f t="shared" si="113"/>
        <v>#NUM!</v>
      </c>
      <c r="BE202" s="29">
        <f t="shared" si="114"/>
        <v>0</v>
      </c>
      <c r="BF202" s="5" t="e">
        <f t="shared" si="115"/>
        <v>#NUM!</v>
      </c>
      <c r="BG202" s="29" t="e">
        <f t="shared" si="116"/>
        <v>#NUM!</v>
      </c>
      <c r="BH202" s="29" t="e">
        <f t="shared" si="117"/>
        <v>#NUM!</v>
      </c>
      <c r="BI202" s="29">
        <f t="shared" si="118"/>
        <v>0</v>
      </c>
      <c r="BJ202" s="30" t="e">
        <f t="shared" si="119"/>
        <v>#NUM!</v>
      </c>
      <c r="BK202" s="29" t="e">
        <f t="shared" si="120"/>
        <v>#NUM!</v>
      </c>
      <c r="BL202" s="29" t="e">
        <f t="shared" si="121"/>
        <v>#NUM!</v>
      </c>
      <c r="BM202" s="29">
        <f t="shared" si="122"/>
        <v>0</v>
      </c>
      <c r="BN202" s="5" t="e">
        <f t="shared" si="123"/>
        <v>#NUM!</v>
      </c>
      <c r="BO202" s="4">
        <f t="shared" si="129"/>
        <v>8.2194749199999997</v>
      </c>
      <c r="BP202" s="4">
        <f t="shared" si="129"/>
        <v>-15.77711152</v>
      </c>
      <c r="BQ202">
        <f t="shared" si="130"/>
        <v>8.2194749199999997</v>
      </c>
      <c r="BR202">
        <f t="shared" si="131"/>
        <v>-15.77711152</v>
      </c>
      <c r="BS202">
        <f t="shared" si="133"/>
        <v>1.6706615595841093E-16</v>
      </c>
      <c r="BT202" s="4">
        <f t="shared" si="132"/>
        <v>0.29418182304666912</v>
      </c>
      <c r="BU202" s="1">
        <f t="shared" si="107"/>
        <v>1.643644148734682E-11</v>
      </c>
    </row>
    <row r="203" spans="1:73" x14ac:dyDescent="0.2">
      <c r="A203" s="31">
        <v>142</v>
      </c>
      <c r="B203" s="4">
        <f>INDEX('vapour permeability'!$A$1:$AZ$450,A203,$C$12*2-1)</f>
        <v>8.2194749199999997</v>
      </c>
      <c r="C203" s="4">
        <f>INDEX('vapour permeability'!$A$1:$AZ$450,A203,$C$12*2)</f>
        <v>-15.77711152</v>
      </c>
      <c r="D203" s="49"/>
      <c r="X203" s="13">
        <v>1</v>
      </c>
      <c r="AY203">
        <f t="shared" si="108"/>
        <v>0</v>
      </c>
      <c r="AZ203" s="5">
        <f t="shared" si="109"/>
        <v>804.6</v>
      </c>
      <c r="BA203" s="5">
        <f t="shared" si="110"/>
        <v>358603.25202561129</v>
      </c>
      <c r="BB203" s="29" t="e">
        <f t="shared" si="111"/>
        <v>#NUM!</v>
      </c>
      <c r="BC203" s="29" t="e">
        <f t="shared" si="112"/>
        <v>#NUM!</v>
      </c>
      <c r="BD203" s="29" t="e">
        <f t="shared" si="113"/>
        <v>#NUM!</v>
      </c>
      <c r="BE203" s="29">
        <f t="shared" si="114"/>
        <v>0</v>
      </c>
      <c r="BF203" s="5" t="e">
        <f t="shared" si="115"/>
        <v>#NUM!</v>
      </c>
      <c r="BG203" s="29" t="e">
        <f t="shared" si="116"/>
        <v>#NUM!</v>
      </c>
      <c r="BH203" s="29" t="e">
        <f t="shared" si="117"/>
        <v>#NUM!</v>
      </c>
      <c r="BI203" s="29">
        <f t="shared" si="118"/>
        <v>0</v>
      </c>
      <c r="BJ203" s="30" t="e">
        <f t="shared" si="119"/>
        <v>#NUM!</v>
      </c>
      <c r="BK203" s="29" t="e">
        <f t="shared" si="120"/>
        <v>#NUM!</v>
      </c>
      <c r="BL203" s="29" t="e">
        <f t="shared" si="121"/>
        <v>#NUM!</v>
      </c>
      <c r="BM203" s="29">
        <f t="shared" si="122"/>
        <v>0</v>
      </c>
      <c r="BN203" s="5" t="e">
        <f t="shared" si="123"/>
        <v>#NUM!</v>
      </c>
      <c r="BO203" s="4">
        <f t="shared" si="129"/>
        <v>8.2194749199999997</v>
      </c>
      <c r="BP203" s="4">
        <f t="shared" si="129"/>
        <v>-15.77711152</v>
      </c>
      <c r="BQ203">
        <f t="shared" si="130"/>
        <v>8.2194749199999997</v>
      </c>
      <c r="BR203">
        <f t="shared" si="131"/>
        <v>-15.77711152</v>
      </c>
      <c r="BS203">
        <f t="shared" si="133"/>
        <v>1.6706615595841093E-16</v>
      </c>
      <c r="BT203" s="4">
        <f t="shared" si="132"/>
        <v>0.29418182304666912</v>
      </c>
      <c r="BU203" s="1">
        <f t="shared" si="107"/>
        <v>1.643644148734682E-11</v>
      </c>
    </row>
    <row r="204" spans="1:73" x14ac:dyDescent="0.2">
      <c r="A204" s="31">
        <v>143</v>
      </c>
      <c r="B204" s="4">
        <f>INDEX('vapour permeability'!$A$1:$AZ$450,A204,$C$12*2-1)</f>
        <v>8.2194749199999997</v>
      </c>
      <c r="C204" s="4">
        <f>INDEX('vapour permeability'!$A$1:$AZ$450,A204,$C$12*2)</f>
        <v>-15.77711152</v>
      </c>
      <c r="D204" s="49"/>
      <c r="X204" s="13">
        <v>1</v>
      </c>
      <c r="AY204">
        <f t="shared" si="108"/>
        <v>0</v>
      </c>
      <c r="AZ204" s="5">
        <f t="shared" si="109"/>
        <v>804.6</v>
      </c>
      <c r="BA204" s="5">
        <f t="shared" si="110"/>
        <v>358603.25202561129</v>
      </c>
      <c r="BB204" s="29" t="e">
        <f t="shared" si="111"/>
        <v>#NUM!</v>
      </c>
      <c r="BC204" s="29" t="e">
        <f t="shared" si="112"/>
        <v>#NUM!</v>
      </c>
      <c r="BD204" s="29" t="e">
        <f t="shared" si="113"/>
        <v>#NUM!</v>
      </c>
      <c r="BE204" s="29">
        <f t="shared" si="114"/>
        <v>0</v>
      </c>
      <c r="BF204" s="5" t="e">
        <f t="shared" si="115"/>
        <v>#NUM!</v>
      </c>
      <c r="BG204" s="29" t="e">
        <f t="shared" si="116"/>
        <v>#NUM!</v>
      </c>
      <c r="BH204" s="29" t="e">
        <f t="shared" si="117"/>
        <v>#NUM!</v>
      </c>
      <c r="BI204" s="29">
        <f t="shared" si="118"/>
        <v>0</v>
      </c>
      <c r="BJ204" s="30" t="e">
        <f t="shared" si="119"/>
        <v>#NUM!</v>
      </c>
      <c r="BK204" s="29" t="e">
        <f t="shared" si="120"/>
        <v>#NUM!</v>
      </c>
      <c r="BL204" s="29" t="e">
        <f t="shared" si="121"/>
        <v>#NUM!</v>
      </c>
      <c r="BM204" s="29">
        <f t="shared" si="122"/>
        <v>0</v>
      </c>
      <c r="BN204" s="5" t="e">
        <f t="shared" si="123"/>
        <v>#NUM!</v>
      </c>
      <c r="BO204" s="4">
        <f t="shared" si="129"/>
        <v>8.2194749199999997</v>
      </c>
      <c r="BP204" s="4">
        <f t="shared" si="129"/>
        <v>-15.77711152</v>
      </c>
      <c r="BQ204">
        <f t="shared" si="130"/>
        <v>8.2194749199999997</v>
      </c>
      <c r="BR204">
        <f t="shared" si="131"/>
        <v>-15.77711152</v>
      </c>
      <c r="BS204">
        <f t="shared" si="133"/>
        <v>1.6706615595841093E-16</v>
      </c>
      <c r="BT204" s="4">
        <f t="shared" si="132"/>
        <v>0.29418182304666912</v>
      </c>
      <c r="BU204" s="1">
        <f t="shared" si="107"/>
        <v>1.643644148734682E-11</v>
      </c>
    </row>
    <row r="205" spans="1:73" x14ac:dyDescent="0.2">
      <c r="A205" s="31">
        <v>144</v>
      </c>
      <c r="B205" s="4">
        <f>INDEX('vapour permeability'!$A$1:$AZ$450,A205,$C$12*2-1)</f>
        <v>8.2194749199999997</v>
      </c>
      <c r="C205" s="4">
        <f>INDEX('vapour permeability'!$A$1:$AZ$450,A205,$C$12*2)</f>
        <v>-15.77711152</v>
      </c>
      <c r="D205" s="49"/>
      <c r="X205" s="13">
        <v>1</v>
      </c>
      <c r="AY205">
        <f t="shared" si="108"/>
        <v>0</v>
      </c>
      <c r="AZ205" s="5">
        <f t="shared" si="109"/>
        <v>804.6</v>
      </c>
      <c r="BA205" s="5">
        <f t="shared" si="110"/>
        <v>358603.25202561129</v>
      </c>
      <c r="BB205" s="29" t="e">
        <f t="shared" si="111"/>
        <v>#NUM!</v>
      </c>
      <c r="BC205" s="29" t="e">
        <f t="shared" si="112"/>
        <v>#NUM!</v>
      </c>
      <c r="BD205" s="29" t="e">
        <f t="shared" si="113"/>
        <v>#NUM!</v>
      </c>
      <c r="BE205" s="29">
        <f t="shared" si="114"/>
        <v>0</v>
      </c>
      <c r="BF205" s="5" t="e">
        <f t="shared" si="115"/>
        <v>#NUM!</v>
      </c>
      <c r="BG205" s="29" t="e">
        <f t="shared" si="116"/>
        <v>#NUM!</v>
      </c>
      <c r="BH205" s="29" t="e">
        <f t="shared" si="117"/>
        <v>#NUM!</v>
      </c>
      <c r="BI205" s="29">
        <f t="shared" si="118"/>
        <v>0</v>
      </c>
      <c r="BJ205" s="30" t="e">
        <f t="shared" si="119"/>
        <v>#NUM!</v>
      </c>
      <c r="BK205" s="29" t="e">
        <f t="shared" si="120"/>
        <v>#NUM!</v>
      </c>
      <c r="BL205" s="29" t="e">
        <f t="shared" si="121"/>
        <v>#NUM!</v>
      </c>
      <c r="BM205" s="29">
        <f t="shared" si="122"/>
        <v>0</v>
      </c>
      <c r="BN205" s="5" t="e">
        <f t="shared" si="123"/>
        <v>#NUM!</v>
      </c>
      <c r="BO205" s="4">
        <f t="shared" si="129"/>
        <v>8.2194749199999997</v>
      </c>
      <c r="BP205" s="4">
        <f t="shared" si="129"/>
        <v>-15.77711152</v>
      </c>
      <c r="BQ205">
        <f t="shared" si="130"/>
        <v>8.2194749199999997</v>
      </c>
      <c r="BR205">
        <f t="shared" si="131"/>
        <v>-15.77711152</v>
      </c>
      <c r="BS205">
        <f t="shared" si="133"/>
        <v>1.6706615595841093E-16</v>
      </c>
      <c r="BT205" s="4">
        <f t="shared" si="132"/>
        <v>0.29418182304666912</v>
      </c>
      <c r="BU205" s="1">
        <f t="shared" si="107"/>
        <v>1.643644148734682E-11</v>
      </c>
    </row>
    <row r="206" spans="1:73" x14ac:dyDescent="0.2">
      <c r="A206" s="31">
        <v>145</v>
      </c>
      <c r="B206" s="4">
        <f>INDEX('vapour permeability'!$A$1:$AZ$450,A206,$C$12*2-1)</f>
        <v>8.2194749199999997</v>
      </c>
      <c r="C206" s="4">
        <f>INDEX('vapour permeability'!$A$1:$AZ$450,A206,$C$12*2)</f>
        <v>-15.77711152</v>
      </c>
      <c r="D206" s="49"/>
      <c r="X206" s="13">
        <v>1</v>
      </c>
      <c r="AY206">
        <f t="shared" si="108"/>
        <v>0</v>
      </c>
      <c r="AZ206" s="5">
        <f t="shared" si="109"/>
        <v>804.6</v>
      </c>
      <c r="BA206" s="5">
        <f t="shared" si="110"/>
        <v>358603.25202561129</v>
      </c>
      <c r="BB206" s="29" t="e">
        <f t="shared" si="111"/>
        <v>#NUM!</v>
      </c>
      <c r="BC206" s="29" t="e">
        <f t="shared" si="112"/>
        <v>#NUM!</v>
      </c>
      <c r="BD206" s="29" t="e">
        <f t="shared" si="113"/>
        <v>#NUM!</v>
      </c>
      <c r="BE206" s="29">
        <f t="shared" si="114"/>
        <v>0</v>
      </c>
      <c r="BF206" s="5" t="e">
        <f t="shared" si="115"/>
        <v>#NUM!</v>
      </c>
      <c r="BG206" s="29" t="e">
        <f t="shared" si="116"/>
        <v>#NUM!</v>
      </c>
      <c r="BH206" s="29" t="e">
        <f t="shared" si="117"/>
        <v>#NUM!</v>
      </c>
      <c r="BI206" s="29">
        <f t="shared" si="118"/>
        <v>0</v>
      </c>
      <c r="BJ206" s="30" t="e">
        <f t="shared" si="119"/>
        <v>#NUM!</v>
      </c>
      <c r="BK206" s="29" t="e">
        <f t="shared" si="120"/>
        <v>#NUM!</v>
      </c>
      <c r="BL206" s="29" t="e">
        <f t="shared" si="121"/>
        <v>#NUM!</v>
      </c>
      <c r="BM206" s="29">
        <f t="shared" si="122"/>
        <v>0</v>
      </c>
      <c r="BN206" s="5" t="e">
        <f t="shared" si="123"/>
        <v>#NUM!</v>
      </c>
      <c r="BO206" s="4">
        <f t="shared" si="129"/>
        <v>8.2194749199999997</v>
      </c>
      <c r="BP206" s="4">
        <f t="shared" si="129"/>
        <v>-15.77711152</v>
      </c>
      <c r="BQ206">
        <f t="shared" si="130"/>
        <v>8.2194749199999997</v>
      </c>
      <c r="BR206">
        <f t="shared" si="131"/>
        <v>-15.77711152</v>
      </c>
      <c r="BS206">
        <f t="shared" si="133"/>
        <v>1.6706615595841093E-16</v>
      </c>
      <c r="BT206" s="4">
        <f t="shared" si="132"/>
        <v>0.29418182304666912</v>
      </c>
      <c r="BU206" s="1">
        <f t="shared" si="107"/>
        <v>1.643644148734682E-11</v>
      </c>
    </row>
    <row r="207" spans="1:73" x14ac:dyDescent="0.2">
      <c r="A207" s="31">
        <v>146</v>
      </c>
      <c r="B207" s="4">
        <f>INDEX('vapour permeability'!$A$1:$AZ$450,A207,$C$12*2-1)</f>
        <v>8.2194749199999997</v>
      </c>
      <c r="C207" s="4">
        <f>INDEX('vapour permeability'!$A$1:$AZ$450,A207,$C$12*2)</f>
        <v>-15.77711152</v>
      </c>
      <c r="D207" s="49"/>
      <c r="BO207" s="4"/>
      <c r="BP207" s="4"/>
    </row>
    <row r="208" spans="1:73" x14ac:dyDescent="0.2">
      <c r="A208" s="31">
        <v>147</v>
      </c>
      <c r="B208" s="4">
        <f>INDEX('vapour permeability'!$A$1:$AZ$450,A208,$C$12*2-1)</f>
        <v>8.2194749199999997</v>
      </c>
      <c r="C208" s="4">
        <f>INDEX('vapour permeability'!$A$1:$AZ$450,A208,$C$12*2)</f>
        <v>-15.77711152</v>
      </c>
      <c r="D208" s="49"/>
      <c r="BO208" s="4"/>
      <c r="BP208" s="4"/>
    </row>
    <row r="209" spans="1:68" x14ac:dyDescent="0.2">
      <c r="A209" s="31">
        <v>148</v>
      </c>
      <c r="B209" s="4">
        <f>INDEX('vapour permeability'!$A$1:$AZ$450,A209,$C$12*2-1)</f>
        <v>8.2194749199999997</v>
      </c>
      <c r="C209" s="4">
        <f>INDEX('vapour permeability'!$A$1:$AZ$450,A209,$C$12*2)</f>
        <v>-15.77711152</v>
      </c>
      <c r="D209" s="49"/>
      <c r="BO209" s="4"/>
      <c r="BP209" s="4"/>
    </row>
    <row r="210" spans="1:68" x14ac:dyDescent="0.2">
      <c r="A210" s="31">
        <v>149</v>
      </c>
      <c r="B210" s="4">
        <f>INDEX('vapour permeability'!$A$1:$AZ$450,A210,$C$12*2-1)</f>
        <v>8.2194749199999997</v>
      </c>
      <c r="C210" s="4">
        <f>INDEX('vapour permeability'!$A$1:$AZ$450,A210,$C$12*2)</f>
        <v>-15.77711152</v>
      </c>
      <c r="D210" s="49"/>
      <c r="BO210" s="4"/>
      <c r="BP210" s="4"/>
    </row>
    <row r="211" spans="1:68" x14ac:dyDescent="0.2">
      <c r="A211" s="31">
        <v>150</v>
      </c>
      <c r="B211" s="4">
        <f>INDEX('vapour permeability'!$A$1:$AZ$450,A211,$C$12*2-1)</f>
        <v>8.2194749199999997</v>
      </c>
      <c r="C211" s="4">
        <f>INDEX('vapour permeability'!$A$1:$AZ$450,A211,$C$12*2)</f>
        <v>-15.77711152</v>
      </c>
      <c r="D211" s="49"/>
    </row>
    <row r="212" spans="1:68" x14ac:dyDescent="0.2">
      <c r="A212" s="31">
        <v>151</v>
      </c>
      <c r="B212" s="4">
        <f>INDEX('vapour permeability'!$A$1:$AZ$450,A212,$C$12*2-1)</f>
        <v>8.2194749199999997</v>
      </c>
      <c r="C212" s="4">
        <f>INDEX('vapour permeability'!$A$1:$AZ$450,A212,$C$12*2)</f>
        <v>-15.77711152</v>
      </c>
      <c r="D212" s="49"/>
    </row>
    <row r="213" spans="1:68" x14ac:dyDescent="0.2">
      <c r="A213" s="31">
        <v>152</v>
      </c>
      <c r="B213" s="4">
        <f>INDEX('vapour permeability'!$A$1:$AZ$450,A213,$C$12*2-1)</f>
        <v>8.2194749199999997</v>
      </c>
      <c r="C213" s="4">
        <f>INDEX('vapour permeability'!$A$1:$AZ$450,A213,$C$12*2)</f>
        <v>-15.77711152</v>
      </c>
      <c r="D213" s="49"/>
    </row>
    <row r="214" spans="1:68" x14ac:dyDescent="0.2">
      <c r="A214" s="31">
        <v>153</v>
      </c>
      <c r="B214" s="4">
        <f>INDEX('vapour permeability'!$A$1:$AZ$450,A214,$C$12*2-1)</f>
        <v>8.2194749199999997</v>
      </c>
      <c r="C214" s="4">
        <f>INDEX('vapour permeability'!$A$1:$AZ$450,A214,$C$12*2)</f>
        <v>-15.77711152</v>
      </c>
      <c r="D214" s="49"/>
    </row>
    <row r="215" spans="1:68" x14ac:dyDescent="0.2">
      <c r="A215" s="31">
        <v>154</v>
      </c>
      <c r="B215" s="4">
        <f>INDEX('vapour permeability'!$A$1:$AZ$450,A215,$C$12*2-1)</f>
        <v>8.2194749199999997</v>
      </c>
      <c r="C215" s="4">
        <f>INDEX('vapour permeability'!$A$1:$AZ$450,A215,$C$12*2)</f>
        <v>-15.77711152</v>
      </c>
      <c r="D215" s="49"/>
    </row>
    <row r="216" spans="1:68" x14ac:dyDescent="0.2">
      <c r="A216" s="31">
        <v>155</v>
      </c>
      <c r="B216" s="4">
        <f>INDEX('vapour permeability'!$A$1:$AZ$450,A216,$C$12*2-1)</f>
        <v>8.2194749199999997</v>
      </c>
      <c r="C216" s="4">
        <f>INDEX('vapour permeability'!$A$1:$AZ$450,A216,$C$12*2)</f>
        <v>-15.77711152</v>
      </c>
      <c r="D216" s="49"/>
    </row>
    <row r="217" spans="1:68" x14ac:dyDescent="0.2">
      <c r="A217" s="31">
        <v>156</v>
      </c>
      <c r="B217" s="4">
        <f>INDEX('vapour permeability'!$A$1:$AZ$450,A217,$C$12*2-1)</f>
        <v>8.2194749199999997</v>
      </c>
      <c r="C217" s="4">
        <f>INDEX('vapour permeability'!$A$1:$AZ$450,A217,$C$12*2)</f>
        <v>-15.77711152</v>
      </c>
      <c r="D217" s="49"/>
    </row>
    <row r="218" spans="1:68" x14ac:dyDescent="0.2">
      <c r="A218" s="31">
        <v>157</v>
      </c>
      <c r="B218" s="4">
        <f>INDEX('vapour permeability'!$A$1:$AZ$450,A218,$C$12*2-1)</f>
        <v>8.2194749199999997</v>
      </c>
      <c r="C218" s="4">
        <f>INDEX('vapour permeability'!$A$1:$AZ$450,A218,$C$12*2)</f>
        <v>-15.77711152</v>
      </c>
      <c r="D218" s="49"/>
    </row>
    <row r="219" spans="1:68" x14ac:dyDescent="0.2">
      <c r="A219" s="31">
        <v>158</v>
      </c>
      <c r="B219" s="4">
        <f>INDEX('vapour permeability'!$A$1:$AZ$450,A219,$C$12*2-1)</f>
        <v>8.2194749199999997</v>
      </c>
      <c r="C219" s="4">
        <f>INDEX('vapour permeability'!$A$1:$AZ$450,A219,$C$12*2)</f>
        <v>-15.77711152</v>
      </c>
      <c r="D219" s="49"/>
    </row>
    <row r="220" spans="1:68" x14ac:dyDescent="0.2">
      <c r="A220" s="31">
        <v>159</v>
      </c>
      <c r="B220" s="4">
        <f>INDEX('vapour permeability'!$A$1:$AZ$450,A220,$C$12*2-1)</f>
        <v>8.2194749199999997</v>
      </c>
      <c r="C220" s="4">
        <f>INDEX('vapour permeability'!$A$1:$AZ$450,A220,$C$12*2)</f>
        <v>-15.77711152</v>
      </c>
      <c r="D220" s="49"/>
    </row>
    <row r="221" spans="1:68" x14ac:dyDescent="0.2">
      <c r="A221" s="31">
        <v>160</v>
      </c>
      <c r="B221" s="4">
        <f>INDEX('vapour permeability'!$A$1:$AZ$450,A221,$C$12*2-1)</f>
        <v>8.2194749199999997</v>
      </c>
      <c r="C221" s="4">
        <f>INDEX('vapour permeability'!$A$1:$AZ$450,A221,$C$12*2)</f>
        <v>-15.77711152</v>
      </c>
      <c r="D221" s="49"/>
    </row>
    <row r="222" spans="1:68" x14ac:dyDescent="0.2">
      <c r="A222" s="31">
        <v>161</v>
      </c>
      <c r="B222" s="4">
        <f>INDEX('vapour permeability'!$A$1:$AZ$450,A222,$C$12*2-1)</f>
        <v>8.2194749199999997</v>
      </c>
      <c r="C222" s="4">
        <f>INDEX('vapour permeability'!$A$1:$AZ$450,A222,$C$12*2)</f>
        <v>-15.77711152</v>
      </c>
      <c r="D222" s="49"/>
    </row>
    <row r="223" spans="1:68" x14ac:dyDescent="0.2">
      <c r="A223" s="31">
        <v>162</v>
      </c>
      <c r="B223" s="4">
        <f>INDEX('vapour permeability'!$A$1:$AZ$450,A223,$C$12*2-1)</f>
        <v>8.2194749199999997</v>
      </c>
      <c r="C223" s="4">
        <f>INDEX('vapour permeability'!$A$1:$AZ$450,A223,$C$12*2)</f>
        <v>-15.77711152</v>
      </c>
      <c r="D223" s="49"/>
    </row>
    <row r="224" spans="1:68" x14ac:dyDescent="0.2">
      <c r="A224" s="31">
        <v>163</v>
      </c>
      <c r="B224" s="4">
        <f>INDEX('vapour permeability'!$A$1:$AZ$450,A224,$C$12*2-1)</f>
        <v>8.2194749199999997</v>
      </c>
      <c r="C224" s="4">
        <f>INDEX('vapour permeability'!$A$1:$AZ$450,A224,$C$12*2)</f>
        <v>-15.77711152</v>
      </c>
      <c r="D224" s="49"/>
      <c r="BO224" s="4"/>
      <c r="BP224" s="4"/>
    </row>
    <row r="225" spans="1:68" x14ac:dyDescent="0.2">
      <c r="A225" s="31">
        <v>164</v>
      </c>
      <c r="B225" s="4">
        <f>INDEX('vapour permeability'!$A$1:$AZ$450,A225,$C$12*2-1)</f>
        <v>8.2194749199999997</v>
      </c>
      <c r="C225" s="4">
        <f>INDEX('vapour permeability'!$A$1:$AZ$450,A225,$C$12*2)</f>
        <v>-15.77711152</v>
      </c>
      <c r="D225" s="49"/>
      <c r="BO225" s="4"/>
      <c r="BP225" s="4"/>
    </row>
    <row r="226" spans="1:68" x14ac:dyDescent="0.2">
      <c r="A226" s="31">
        <v>165</v>
      </c>
      <c r="B226" s="4">
        <f>INDEX('vapour permeability'!$A$1:$AZ$450,A226,$C$12*2-1)</f>
        <v>8.2194749199999997</v>
      </c>
      <c r="C226" s="4">
        <f>INDEX('vapour permeability'!$A$1:$AZ$450,A226,$C$12*2)</f>
        <v>-15.77711152</v>
      </c>
      <c r="D226" s="49"/>
      <c r="BO226" s="4"/>
      <c r="BP226" s="4"/>
    </row>
    <row r="227" spans="1:68" x14ac:dyDescent="0.2">
      <c r="A227" s="31">
        <v>166</v>
      </c>
      <c r="B227" s="4">
        <f>INDEX('vapour permeability'!$A$1:$AZ$450,A227,$C$12*2-1)</f>
        <v>8.2194749199999997</v>
      </c>
      <c r="C227" s="4">
        <f>INDEX('vapour permeability'!$A$1:$AZ$450,A227,$C$12*2)</f>
        <v>-15.77711152</v>
      </c>
      <c r="D227" s="49"/>
      <c r="BO227" s="4"/>
      <c r="BP227" s="4"/>
    </row>
    <row r="228" spans="1:68" x14ac:dyDescent="0.2">
      <c r="A228" s="31">
        <v>167</v>
      </c>
      <c r="B228" s="4">
        <f>INDEX('vapour permeability'!$A$1:$AZ$450,A228,$C$12*2-1)</f>
        <v>8.2194749199999997</v>
      </c>
      <c r="C228" s="4">
        <f>INDEX('vapour permeability'!$A$1:$AZ$450,A228,$C$12*2)</f>
        <v>-15.77711152</v>
      </c>
      <c r="D228" s="49"/>
      <c r="BO228" s="4"/>
      <c r="BP228" s="4"/>
    </row>
    <row r="229" spans="1:68" x14ac:dyDescent="0.2">
      <c r="A229" s="31">
        <v>168</v>
      </c>
      <c r="B229" s="4">
        <f>INDEX('vapour permeability'!$A$1:$AZ$450,A229,$C$12*2-1)</f>
        <v>8.2194749199999997</v>
      </c>
      <c r="C229" s="4">
        <f>INDEX('vapour permeability'!$A$1:$AZ$450,A229,$C$12*2)</f>
        <v>-15.77711152</v>
      </c>
      <c r="D229" s="49"/>
    </row>
    <row r="230" spans="1:68" x14ac:dyDescent="0.2">
      <c r="A230" s="31">
        <v>169</v>
      </c>
      <c r="B230" s="4">
        <f>INDEX('vapour permeability'!$A$1:$AZ$450,A230,$C$12*2-1)</f>
        <v>8.2194749199999997</v>
      </c>
      <c r="C230" s="4">
        <f>INDEX('vapour permeability'!$A$1:$AZ$450,A230,$C$12*2)</f>
        <v>-15.77711152</v>
      </c>
      <c r="D230" s="49"/>
    </row>
    <row r="231" spans="1:68" x14ac:dyDescent="0.2">
      <c r="A231" s="31">
        <v>170</v>
      </c>
      <c r="B231" s="4">
        <f>INDEX('vapour permeability'!$A$1:$AZ$450,A231,$C$12*2-1)</f>
        <v>8.2194749199999997</v>
      </c>
      <c r="C231" s="4">
        <f>INDEX('vapour permeability'!$A$1:$AZ$450,A231,$C$12*2)</f>
        <v>-15.77711152</v>
      </c>
      <c r="D231" s="49"/>
    </row>
    <row r="232" spans="1:68" x14ac:dyDescent="0.2">
      <c r="A232" s="31">
        <v>171</v>
      </c>
      <c r="B232" s="4">
        <f>INDEX('vapour permeability'!$A$1:$AZ$450,A232,$C$12*2-1)</f>
        <v>8.2194749199999997</v>
      </c>
      <c r="C232" s="4">
        <f>INDEX('vapour permeability'!$A$1:$AZ$450,A232,$C$12*2)</f>
        <v>-15.77711152</v>
      </c>
      <c r="D232" s="49"/>
    </row>
    <row r="233" spans="1:68" x14ac:dyDescent="0.2">
      <c r="A233" s="31">
        <v>172</v>
      </c>
      <c r="B233" s="4">
        <f>INDEX('vapour permeability'!$A$1:$AZ$450,A233,$C$12*2-1)</f>
        <v>8.2194749199999997</v>
      </c>
      <c r="C233" s="4">
        <f>INDEX('vapour permeability'!$A$1:$AZ$450,A233,$C$12*2)</f>
        <v>-15.77711152</v>
      </c>
      <c r="D233" s="49"/>
    </row>
    <row r="234" spans="1:68" x14ac:dyDescent="0.2">
      <c r="A234" s="31">
        <v>173</v>
      </c>
      <c r="B234" s="4">
        <f>INDEX('vapour permeability'!$A$1:$AZ$450,A234,$C$12*2-1)</f>
        <v>8.2194749199999997</v>
      </c>
      <c r="C234" s="4">
        <f>INDEX('vapour permeability'!$A$1:$AZ$450,A234,$C$12*2)</f>
        <v>-15.77711152</v>
      </c>
      <c r="D234" s="49"/>
    </row>
    <row r="235" spans="1:68" x14ac:dyDescent="0.2">
      <c r="A235" s="31">
        <v>174</v>
      </c>
      <c r="B235" s="4">
        <f>INDEX('vapour permeability'!$A$1:$AZ$450,A235,$C$12*2-1)</f>
        <v>8.2194749199999997</v>
      </c>
      <c r="C235" s="4">
        <f>INDEX('vapour permeability'!$A$1:$AZ$450,A235,$C$12*2)</f>
        <v>-15.77711152</v>
      </c>
      <c r="D235" s="49"/>
    </row>
    <row r="236" spans="1:68" x14ac:dyDescent="0.2">
      <c r="A236" s="31">
        <v>175</v>
      </c>
      <c r="B236" s="4">
        <f>INDEX('vapour permeability'!$A$1:$AZ$450,A236,$C$12*2-1)</f>
        <v>8.2194749199999997</v>
      </c>
      <c r="C236" s="4">
        <f>INDEX('vapour permeability'!$A$1:$AZ$450,A236,$C$12*2)</f>
        <v>-15.77711152</v>
      </c>
      <c r="D236" s="49"/>
    </row>
    <row r="237" spans="1:68" x14ac:dyDescent="0.2">
      <c r="A237" s="31">
        <v>176</v>
      </c>
      <c r="B237" s="4">
        <f>INDEX('vapour permeability'!$A$1:$AZ$450,A237,$C$12*2-1)</f>
        <v>8.2194749199999997</v>
      </c>
      <c r="C237" s="4">
        <f>INDEX('vapour permeability'!$A$1:$AZ$450,A237,$C$12*2)</f>
        <v>-15.77711152</v>
      </c>
      <c r="D237" s="49"/>
    </row>
    <row r="238" spans="1:68" x14ac:dyDescent="0.2">
      <c r="A238" s="31">
        <v>177</v>
      </c>
      <c r="B238" s="4">
        <f>INDEX('vapour permeability'!$A$1:$AZ$450,A238,$C$12*2-1)</f>
        <v>8.2194749199999997</v>
      </c>
      <c r="C238" s="4">
        <f>INDEX('vapour permeability'!$A$1:$AZ$450,A238,$C$12*2)</f>
        <v>-15.77711152</v>
      </c>
      <c r="D238" s="49"/>
    </row>
    <row r="239" spans="1:68" x14ac:dyDescent="0.2">
      <c r="A239" s="31">
        <v>178</v>
      </c>
      <c r="B239" s="4">
        <f>INDEX('vapour permeability'!$A$1:$AZ$450,A239,$C$12*2-1)</f>
        <v>8.2194749199999997</v>
      </c>
      <c r="C239" s="4">
        <f>INDEX('vapour permeability'!$A$1:$AZ$450,A239,$C$12*2)</f>
        <v>-15.77711152</v>
      </c>
      <c r="D239" s="49"/>
    </row>
    <row r="240" spans="1:68" x14ac:dyDescent="0.2">
      <c r="A240" s="31">
        <v>179</v>
      </c>
      <c r="B240" s="4">
        <f>INDEX('vapour permeability'!$A$1:$AZ$450,A240,$C$12*2-1)</f>
        <v>8.2194749199999997</v>
      </c>
      <c r="C240" s="4">
        <f>INDEX('vapour permeability'!$A$1:$AZ$450,A240,$C$12*2)</f>
        <v>-15.77711152</v>
      </c>
      <c r="D240" s="49"/>
    </row>
    <row r="241" spans="1:4" x14ac:dyDescent="0.2">
      <c r="A241" s="31">
        <v>180</v>
      </c>
      <c r="B241" s="4">
        <f>INDEX('vapour permeability'!$A$1:$AZ$450,A241,$C$12*2-1)</f>
        <v>8.2194749199999997</v>
      </c>
      <c r="C241" s="4">
        <f>INDEX('vapour permeability'!$A$1:$AZ$450,A241,$C$12*2)</f>
        <v>-15.77711152</v>
      </c>
      <c r="D241" s="49"/>
    </row>
    <row r="242" spans="1:4" x14ac:dyDescent="0.2">
      <c r="A242" s="31">
        <v>181</v>
      </c>
      <c r="B242" s="4">
        <f>INDEX('vapour permeability'!$A$1:$AZ$450,A242,$C$12*2-1)</f>
        <v>8.2194749199999997</v>
      </c>
      <c r="C242" s="4">
        <f>INDEX('vapour permeability'!$A$1:$AZ$450,A242,$C$12*2)</f>
        <v>-15.77711152</v>
      </c>
      <c r="D242" s="49"/>
    </row>
    <row r="243" spans="1:4" x14ac:dyDescent="0.2">
      <c r="A243" s="31">
        <v>182</v>
      </c>
      <c r="B243" s="4">
        <f>INDEX('vapour permeability'!$A$1:$AZ$450,A243,$C$12*2-1)</f>
        <v>8.2194749199999997</v>
      </c>
      <c r="C243" s="4">
        <f>INDEX('vapour permeability'!$A$1:$AZ$450,A243,$C$12*2)</f>
        <v>-15.77711152</v>
      </c>
      <c r="D243" s="49"/>
    </row>
    <row r="244" spans="1:4" x14ac:dyDescent="0.2">
      <c r="A244" s="31">
        <v>183</v>
      </c>
      <c r="B244" s="4">
        <f>INDEX('vapour permeability'!$A$1:$AZ$450,A244,$C$12*2-1)</f>
        <v>8.2194749199999997</v>
      </c>
      <c r="C244" s="4">
        <f>INDEX('vapour permeability'!$A$1:$AZ$450,A244,$C$12*2)</f>
        <v>-15.77711152</v>
      </c>
      <c r="D244" s="49"/>
    </row>
    <row r="245" spans="1:4" x14ac:dyDescent="0.2">
      <c r="A245" s="31">
        <v>184</v>
      </c>
      <c r="B245" s="4">
        <f>INDEX('vapour permeability'!$A$1:$AZ$450,A245,$C$12*2-1)</f>
        <v>8.2194749199999997</v>
      </c>
      <c r="C245" s="4">
        <f>INDEX('vapour permeability'!$A$1:$AZ$450,A245,$C$12*2)</f>
        <v>-15.77711152</v>
      </c>
      <c r="D245" s="49"/>
    </row>
    <row r="246" spans="1:4" x14ac:dyDescent="0.2">
      <c r="A246" s="31">
        <v>185</v>
      </c>
      <c r="B246" s="4">
        <f>INDEX('vapour permeability'!$A$1:$AZ$450,A246,$C$12*2-1)</f>
        <v>8.2194749199999997</v>
      </c>
      <c r="C246" s="4">
        <f>INDEX('vapour permeability'!$A$1:$AZ$450,A246,$C$12*2)</f>
        <v>-15.77711152</v>
      </c>
      <c r="D246" s="49"/>
    </row>
    <row r="247" spans="1:4" x14ac:dyDescent="0.2">
      <c r="A247" s="31">
        <v>186</v>
      </c>
      <c r="B247" s="4">
        <f>INDEX('vapour permeability'!$A$1:$AZ$450,A247,$C$12*2-1)</f>
        <v>8.2194749199999997</v>
      </c>
      <c r="C247" s="4">
        <f>INDEX('vapour permeability'!$A$1:$AZ$450,A247,$C$12*2)</f>
        <v>-15.77711152</v>
      </c>
      <c r="D247" s="49"/>
    </row>
    <row r="248" spans="1:4" x14ac:dyDescent="0.2">
      <c r="A248" s="31">
        <v>187</v>
      </c>
      <c r="B248" s="4">
        <f>INDEX('vapour permeability'!$A$1:$AZ$450,A248,$C$12*2-1)</f>
        <v>8.2194749199999997</v>
      </c>
      <c r="C248" s="4">
        <f>INDEX('vapour permeability'!$A$1:$AZ$450,A248,$C$12*2)</f>
        <v>-15.77711152</v>
      </c>
      <c r="D248" s="49"/>
    </row>
    <row r="249" spans="1:4" x14ac:dyDescent="0.2">
      <c r="A249" s="31">
        <v>188</v>
      </c>
      <c r="B249" s="4">
        <f>INDEX('vapour permeability'!$A$1:$AZ$450,A249,$C$12*2-1)</f>
        <v>8.2194749199999997</v>
      </c>
      <c r="C249" s="4">
        <f>INDEX('vapour permeability'!$A$1:$AZ$450,A249,$C$12*2)</f>
        <v>-15.77711152</v>
      </c>
      <c r="D249" s="49"/>
    </row>
    <row r="250" spans="1:4" x14ac:dyDescent="0.2">
      <c r="A250" s="31">
        <v>189</v>
      </c>
      <c r="B250" s="4">
        <f>INDEX('vapour permeability'!$A$1:$AZ$450,A250,$C$12*2-1)</f>
        <v>8.2194749199999997</v>
      </c>
      <c r="C250" s="4">
        <f>INDEX('vapour permeability'!$A$1:$AZ$450,A250,$C$12*2)</f>
        <v>-15.77711152</v>
      </c>
      <c r="D250" s="49"/>
    </row>
    <row r="251" spans="1:4" x14ac:dyDescent="0.2">
      <c r="A251" s="31">
        <v>190</v>
      </c>
      <c r="B251" s="4">
        <f>INDEX('vapour permeability'!$A$1:$AZ$450,A251,$C$12*2-1)</f>
        <v>8.2194749199999997</v>
      </c>
      <c r="C251" s="4">
        <f>INDEX('vapour permeability'!$A$1:$AZ$450,A251,$C$12*2)</f>
        <v>-15.77711152</v>
      </c>
      <c r="D251" s="49"/>
    </row>
    <row r="252" spans="1:4" x14ac:dyDescent="0.2">
      <c r="A252" s="31">
        <v>191</v>
      </c>
      <c r="B252" s="4">
        <f>INDEX('vapour permeability'!$A$1:$AZ$450,A252,$C$12*2-1)</f>
        <v>8.2194749199999997</v>
      </c>
      <c r="C252" s="4">
        <f>INDEX('vapour permeability'!$A$1:$AZ$450,A252,$C$12*2)</f>
        <v>-15.77711152</v>
      </c>
      <c r="D252" s="49"/>
    </row>
    <row r="253" spans="1:4" x14ac:dyDescent="0.2">
      <c r="A253" s="31">
        <v>192</v>
      </c>
      <c r="B253" s="4">
        <f>INDEX('vapour permeability'!$A$1:$AZ$450,A253,$C$12*2-1)</f>
        <v>8.2194749199999997</v>
      </c>
      <c r="C253" s="4">
        <f>INDEX('vapour permeability'!$A$1:$AZ$450,A253,$C$12*2)</f>
        <v>-15.77711152</v>
      </c>
      <c r="D253" s="49"/>
    </row>
    <row r="254" spans="1:4" x14ac:dyDescent="0.2">
      <c r="A254" s="31">
        <v>193</v>
      </c>
      <c r="B254" s="4">
        <f>INDEX('vapour permeability'!$A$1:$AZ$450,A254,$C$12*2-1)</f>
        <v>8.2194749199999997</v>
      </c>
      <c r="C254" s="4">
        <f>INDEX('vapour permeability'!$A$1:$AZ$450,A254,$C$12*2)</f>
        <v>-15.77711152</v>
      </c>
      <c r="D254" s="49"/>
    </row>
    <row r="255" spans="1:4" x14ac:dyDescent="0.2">
      <c r="A255" s="31">
        <v>194</v>
      </c>
      <c r="B255" s="4">
        <f>INDEX('vapour permeability'!$A$1:$AZ$450,A255,$C$12*2-1)</f>
        <v>8.2194749199999997</v>
      </c>
      <c r="C255" s="4">
        <f>INDEX('vapour permeability'!$A$1:$AZ$450,A255,$C$12*2)</f>
        <v>-15.77711152</v>
      </c>
      <c r="D255" s="49"/>
    </row>
    <row r="256" spans="1:4" x14ac:dyDescent="0.2">
      <c r="A256" s="31">
        <v>195</v>
      </c>
      <c r="B256" s="4">
        <f>INDEX('vapour permeability'!$A$1:$AZ$450,A256,$C$12*2-1)</f>
        <v>8.2194749199999997</v>
      </c>
      <c r="C256" s="4">
        <f>INDEX('vapour permeability'!$A$1:$AZ$450,A256,$C$12*2)</f>
        <v>-15.77711152</v>
      </c>
      <c r="D256" s="49"/>
    </row>
    <row r="257" spans="1:4" x14ac:dyDescent="0.2">
      <c r="A257" s="31">
        <v>196</v>
      </c>
      <c r="B257" s="4">
        <f>INDEX('vapour permeability'!$A$1:$AZ$450,A257,$C$12*2-1)</f>
        <v>8.2194749199999997</v>
      </c>
      <c r="C257" s="4">
        <f>INDEX('vapour permeability'!$A$1:$AZ$450,A257,$C$12*2)</f>
        <v>-15.77711152</v>
      </c>
      <c r="D257" s="49"/>
    </row>
    <row r="258" spans="1:4" x14ac:dyDescent="0.2">
      <c r="A258" s="31">
        <v>197</v>
      </c>
      <c r="B258" s="4">
        <f>INDEX('vapour permeability'!$A$1:$AZ$450,A258,$C$12*2-1)</f>
        <v>8.2194749199999997</v>
      </c>
      <c r="C258" s="4">
        <f>INDEX('vapour permeability'!$A$1:$AZ$450,A258,$C$12*2)</f>
        <v>-15.77711152</v>
      </c>
      <c r="D258" s="49"/>
    </row>
    <row r="259" spans="1:4" x14ac:dyDescent="0.2">
      <c r="A259" s="31">
        <v>198</v>
      </c>
      <c r="B259" s="4">
        <f>INDEX('vapour permeability'!$A$1:$AZ$450,A259,$C$12*2-1)</f>
        <v>8.2194749199999997</v>
      </c>
      <c r="C259" s="4">
        <f>INDEX('vapour permeability'!$A$1:$AZ$450,A259,$C$12*2)</f>
        <v>-15.77711152</v>
      </c>
      <c r="D259" s="49"/>
    </row>
    <row r="260" spans="1:4" x14ac:dyDescent="0.2">
      <c r="A260" s="31">
        <v>199</v>
      </c>
      <c r="B260" s="4">
        <f>INDEX('vapour permeability'!$A$1:$AZ$450,A260,$C$12*2-1)</f>
        <v>8.2194749199999997</v>
      </c>
      <c r="C260" s="4">
        <f>INDEX('vapour permeability'!$A$1:$AZ$450,A260,$C$12*2)</f>
        <v>-15.77711152</v>
      </c>
      <c r="D260" s="49"/>
    </row>
    <row r="261" spans="1:4" x14ac:dyDescent="0.2">
      <c r="A261" s="31">
        <v>200</v>
      </c>
      <c r="B261" s="4">
        <f>INDEX('vapour permeability'!$A$1:$AZ$450,A261,$C$12*2-1)</f>
        <v>8.2194749199999997</v>
      </c>
      <c r="C261" s="4">
        <f>INDEX('vapour permeability'!$A$1:$AZ$450,A261,$C$12*2)</f>
        <v>-15.77711152</v>
      </c>
      <c r="D261" s="49"/>
    </row>
    <row r="262" spans="1:4" x14ac:dyDescent="0.2">
      <c r="A262" s="31">
        <v>201</v>
      </c>
      <c r="B262" s="4">
        <f>INDEX('vapour permeability'!$A$1:$AZ$450,A262,$C$12*2-1)</f>
        <v>8.2194749199999997</v>
      </c>
      <c r="C262" s="4">
        <f>INDEX('vapour permeability'!$A$1:$AZ$450,A262,$C$12*2)</f>
        <v>-15.77711152</v>
      </c>
      <c r="D262" s="49"/>
    </row>
    <row r="263" spans="1:4" x14ac:dyDescent="0.2">
      <c r="A263" s="31">
        <v>202</v>
      </c>
      <c r="B263" s="4">
        <f>INDEX('vapour permeability'!$A$1:$AZ$450,A263,$C$12*2-1)</f>
        <v>8.2194749199999997</v>
      </c>
      <c r="C263" s="4">
        <f>INDEX('vapour permeability'!$A$1:$AZ$450,A263,$C$12*2)</f>
        <v>-15.77711152</v>
      </c>
      <c r="D263" s="49"/>
    </row>
    <row r="264" spans="1:4" x14ac:dyDescent="0.2">
      <c r="B264" s="4"/>
      <c r="C264" s="4"/>
      <c r="D264" s="49"/>
    </row>
  </sheetData>
  <mergeCells count="6">
    <mergeCell ref="E13:H13"/>
    <mergeCell ref="E14:H14"/>
    <mergeCell ref="E9:H9"/>
    <mergeCell ref="E10:H10"/>
    <mergeCell ref="E11:H11"/>
    <mergeCell ref="E12:H12"/>
  </mergeCells>
  <phoneticPr fontId="3" type="noConversion"/>
  <printOptions horizontalCentered="1"/>
  <pageMargins left="0.39370078740157483" right="0.39370078740157483" top="0.39370078740157483" bottom="0.39370078740157483" header="0" footer="0"/>
  <pageSetup paperSize="9" scale="73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Drop Down 4">
              <controlPr defaultSize="0" autoLine="0" autoPict="0">
                <anchor moveWithCells="1">
                  <from>
                    <xdr:col>5</xdr:col>
                    <xdr:colOff>19050</xdr:colOff>
                    <xdr:row>0</xdr:row>
                    <xdr:rowOff>95250</xdr:rowOff>
                  </from>
                  <to>
                    <xdr:col>7</xdr:col>
                    <xdr:colOff>476250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L202"/>
  <sheetViews>
    <sheetView workbookViewId="0">
      <pane ySplit="1785" topLeftCell="A198" activePane="bottomLeft"/>
      <selection activeCell="AL1" sqref="AL1"/>
      <selection pane="bottomLeft" activeCell="AE219" sqref="AE219"/>
    </sheetView>
  </sheetViews>
  <sheetFormatPr defaultRowHeight="12.75" x14ac:dyDescent="0.2"/>
  <cols>
    <col min="1" max="12" width="2" bestFit="1" customWidth="1"/>
    <col min="13" max="13" width="4" bestFit="1" customWidth="1"/>
    <col min="17" max="18" width="2" bestFit="1" customWidth="1"/>
    <col min="19" max="34" width="3" bestFit="1" customWidth="1"/>
  </cols>
  <sheetData>
    <row r="1" spans="1:38" x14ac:dyDescent="0.2">
      <c r="A1">
        <v>1</v>
      </c>
      <c r="B1">
        <v>1</v>
      </c>
      <c r="C1">
        <v>2</v>
      </c>
      <c r="D1">
        <v>2</v>
      </c>
      <c r="E1">
        <v>3</v>
      </c>
      <c r="F1">
        <v>3</v>
      </c>
      <c r="G1">
        <v>4</v>
      </c>
      <c r="H1">
        <v>4</v>
      </c>
      <c r="I1">
        <v>5</v>
      </c>
      <c r="J1">
        <v>5</v>
      </c>
      <c r="K1">
        <v>6</v>
      </c>
      <c r="L1">
        <v>6</v>
      </c>
      <c r="M1">
        <v>7</v>
      </c>
      <c r="N1">
        <v>7</v>
      </c>
      <c r="O1">
        <v>8</v>
      </c>
      <c r="P1">
        <v>8</v>
      </c>
      <c r="Q1">
        <v>9</v>
      </c>
      <c r="R1">
        <v>9</v>
      </c>
      <c r="S1">
        <v>10</v>
      </c>
      <c r="T1">
        <v>10</v>
      </c>
      <c r="U1">
        <v>11</v>
      </c>
      <c r="V1">
        <v>11</v>
      </c>
      <c r="W1">
        <v>12</v>
      </c>
      <c r="X1">
        <v>12</v>
      </c>
      <c r="Y1">
        <v>13</v>
      </c>
      <c r="Z1">
        <v>13</v>
      </c>
      <c r="AA1">
        <v>14</v>
      </c>
      <c r="AB1">
        <v>14</v>
      </c>
      <c r="AC1">
        <v>15</v>
      </c>
      <c r="AD1">
        <v>15</v>
      </c>
      <c r="AE1">
        <v>16</v>
      </c>
      <c r="AF1">
        <v>16</v>
      </c>
      <c r="AG1">
        <v>17</v>
      </c>
      <c r="AH1">
        <v>17</v>
      </c>
      <c r="AI1">
        <v>18</v>
      </c>
      <c r="AJ1">
        <v>18</v>
      </c>
      <c r="AK1">
        <v>19</v>
      </c>
      <c r="AL1">
        <v>19</v>
      </c>
    </row>
    <row r="2" spans="1:38" x14ac:dyDescent="0.2">
      <c r="M2">
        <v>24</v>
      </c>
      <c r="N2" t="s">
        <v>120</v>
      </c>
      <c r="O2">
        <v>47</v>
      </c>
      <c r="P2" t="s">
        <v>121</v>
      </c>
      <c r="AI2">
        <v>200</v>
      </c>
      <c r="AJ2" t="s">
        <v>122</v>
      </c>
      <c r="AK2" t="s">
        <v>123</v>
      </c>
    </row>
    <row r="3" spans="1:38" x14ac:dyDescent="0.2">
      <c r="M3">
        <v>2.1</v>
      </c>
      <c r="N3" s="5">
        <v>-8.35</v>
      </c>
      <c r="O3" s="5">
        <v>3.0724479900000001</v>
      </c>
      <c r="P3" s="5">
        <v>-10.25578528</v>
      </c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>
        <v>1.04061</v>
      </c>
      <c r="AJ3" s="5">
        <v>-8.8994300000000006</v>
      </c>
      <c r="AK3" s="5">
        <v>1.04061</v>
      </c>
      <c r="AL3" s="5">
        <v>-10.464320000000001</v>
      </c>
    </row>
    <row r="4" spans="1:38" x14ac:dyDescent="0.2">
      <c r="M4">
        <v>4</v>
      </c>
      <c r="N4" s="5">
        <v>-8.35</v>
      </c>
      <c r="O4" s="5">
        <v>5.4449800599999998</v>
      </c>
      <c r="P4" s="5">
        <v>-10.257793019999999</v>
      </c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>
        <v>1.08121</v>
      </c>
      <c r="AJ4" s="5">
        <v>-8.8994300000000006</v>
      </c>
      <c r="AK4" s="5">
        <v>1.08121</v>
      </c>
      <c r="AL4" s="5">
        <v>-10.46435</v>
      </c>
    </row>
    <row r="5" spans="1:38" x14ac:dyDescent="0.2">
      <c r="M5">
        <v>5</v>
      </c>
      <c r="N5" s="5">
        <v>-8.36</v>
      </c>
      <c r="O5" s="5">
        <v>5.6825150400000002</v>
      </c>
      <c r="P5" s="5">
        <v>-10.261337989999999</v>
      </c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>
        <v>1.12182</v>
      </c>
      <c r="AJ5" s="5">
        <v>-8.8994300000000006</v>
      </c>
      <c r="AK5" s="5">
        <v>1.12182</v>
      </c>
      <c r="AL5" s="5">
        <v>-10.46438</v>
      </c>
    </row>
    <row r="6" spans="1:38" x14ac:dyDescent="0.2">
      <c r="M6">
        <v>5.4</v>
      </c>
      <c r="N6" s="5">
        <v>-8.36</v>
      </c>
      <c r="O6" s="5">
        <v>5.8324298499999996</v>
      </c>
      <c r="P6" s="5">
        <v>-10.528563119999999</v>
      </c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>
        <v>1.1624300000000001</v>
      </c>
      <c r="AJ6" s="5">
        <v>-8.8994300000000006</v>
      </c>
      <c r="AK6" s="5">
        <v>1.1624300000000001</v>
      </c>
      <c r="AL6" s="5">
        <v>-10.464399999999999</v>
      </c>
    </row>
    <row r="7" spans="1:38" x14ac:dyDescent="0.2">
      <c r="M7">
        <v>5.5</v>
      </c>
      <c r="N7" s="5">
        <v>-8.57</v>
      </c>
      <c r="O7" s="5">
        <v>5.9446358899999998</v>
      </c>
      <c r="P7" s="5">
        <v>-10.927762639999999</v>
      </c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>
        <v>1.20303</v>
      </c>
      <c r="AJ7" s="5">
        <v>-8.8994300000000006</v>
      </c>
      <c r="AK7" s="5">
        <v>1.20303</v>
      </c>
      <c r="AL7" s="5">
        <v>-10.46443</v>
      </c>
    </row>
    <row r="8" spans="1:38" x14ac:dyDescent="0.2">
      <c r="M8">
        <v>5.6</v>
      </c>
      <c r="N8" s="5">
        <v>-9.25</v>
      </c>
      <c r="O8" s="5">
        <v>6.0347163500000001</v>
      </c>
      <c r="P8" s="5">
        <v>-11.613094609999999</v>
      </c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>
        <v>1.2436400000000001</v>
      </c>
      <c r="AJ8" s="5">
        <v>-8.8994300000000006</v>
      </c>
      <c r="AK8" s="5">
        <v>1.2436400000000001</v>
      </c>
      <c r="AL8" s="5">
        <v>-10.46444</v>
      </c>
    </row>
    <row r="9" spans="1:38" x14ac:dyDescent="0.2">
      <c r="M9">
        <v>5.6</v>
      </c>
      <c r="N9" s="5">
        <v>-9.24565166</v>
      </c>
      <c r="O9" s="5">
        <v>6.1118702300000001</v>
      </c>
      <c r="P9" s="5">
        <v>-12.52722732</v>
      </c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>
        <v>1.28424</v>
      </c>
      <c r="AJ9" s="5">
        <v>-8.8994300000000006</v>
      </c>
      <c r="AK9" s="5">
        <v>1.28424</v>
      </c>
      <c r="AL9" s="5">
        <v>-10.464460000000001</v>
      </c>
    </row>
    <row r="10" spans="1:38" x14ac:dyDescent="0.2">
      <c r="M10">
        <v>5.7</v>
      </c>
      <c r="N10" s="5">
        <v>-9.9788107000000004</v>
      </c>
      <c r="O10" s="5">
        <v>6.1813136399999999</v>
      </c>
      <c r="P10" s="5">
        <v>-13.01058402</v>
      </c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>
        <v>1.3248500000000001</v>
      </c>
      <c r="AJ10" s="5">
        <v>-8.8994300000000006</v>
      </c>
      <c r="AK10" s="5">
        <v>1.3248500000000001</v>
      </c>
      <c r="AL10" s="5">
        <v>-10.46447</v>
      </c>
    </row>
    <row r="11" spans="1:38" x14ac:dyDescent="0.2">
      <c r="M11">
        <v>5.8</v>
      </c>
      <c r="N11" s="5">
        <v>-10.53313238</v>
      </c>
      <c r="O11" s="5">
        <v>6.2446747399999998</v>
      </c>
      <c r="P11" s="5">
        <v>-13.25198462</v>
      </c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>
        <v>1.3654599999999999</v>
      </c>
      <c r="AJ11" s="5">
        <v>-8.8994300000000006</v>
      </c>
      <c r="AK11" s="5">
        <v>1.3654599999999999</v>
      </c>
      <c r="AL11" s="5">
        <v>-10.46448</v>
      </c>
    </row>
    <row r="12" spans="1:38" x14ac:dyDescent="0.2">
      <c r="M12">
        <v>5.9</v>
      </c>
      <c r="N12" s="5">
        <v>-11.06298389</v>
      </c>
      <c r="O12" s="5">
        <v>6.3009803299999998</v>
      </c>
      <c r="P12" s="5">
        <v>-13.44277505</v>
      </c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>
        <v>1.4060600000000001</v>
      </c>
      <c r="AJ12" s="5">
        <v>-8.8994300000000006</v>
      </c>
      <c r="AK12" s="5">
        <v>1.4060600000000001</v>
      </c>
      <c r="AL12" s="5">
        <v>-10.46449</v>
      </c>
    </row>
    <row r="13" spans="1:38" x14ac:dyDescent="0.2">
      <c r="M13">
        <v>6</v>
      </c>
      <c r="N13" s="5">
        <v>-11.5559552</v>
      </c>
      <c r="O13" s="5">
        <v>6.35595759</v>
      </c>
      <c r="P13" s="5">
        <v>-13.60858818</v>
      </c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>
        <v>1.4466699999999999</v>
      </c>
      <c r="AJ13" s="5">
        <v>-8.8994300000000006</v>
      </c>
      <c r="AK13" s="5">
        <v>1.4466699999999999</v>
      </c>
      <c r="AL13" s="5">
        <v>-10.46449</v>
      </c>
    </row>
    <row r="14" spans="1:38" x14ac:dyDescent="0.2">
      <c r="M14">
        <v>6.1</v>
      </c>
      <c r="N14" s="5">
        <v>-12.000869460000001</v>
      </c>
      <c r="O14" s="5">
        <v>6.4045660499999997</v>
      </c>
      <c r="P14" s="5">
        <v>-13.755436</v>
      </c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>
        <v>1.4872799999999999</v>
      </c>
      <c r="AJ14" s="5">
        <v>-8.8994300000000006</v>
      </c>
      <c r="AK14" s="5">
        <v>1.4872799999999999</v>
      </c>
      <c r="AL14" s="5">
        <v>-10.46449</v>
      </c>
    </row>
    <row r="15" spans="1:38" x14ac:dyDescent="0.2">
      <c r="M15">
        <v>6.2</v>
      </c>
      <c r="N15" s="5">
        <v>-12.38090667</v>
      </c>
      <c r="O15" s="5">
        <v>6.4531745100000002</v>
      </c>
      <c r="P15" s="5">
        <v>-13.89101762</v>
      </c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>
        <v>1.5278799999999999</v>
      </c>
      <c r="AJ15" s="5">
        <v>-8.8994300000000006</v>
      </c>
      <c r="AK15" s="5">
        <v>1.5278799999999999</v>
      </c>
      <c r="AL15" s="5">
        <v>-10.46449</v>
      </c>
    </row>
    <row r="16" spans="1:38" x14ac:dyDescent="0.2">
      <c r="M16">
        <v>6.3</v>
      </c>
      <c r="N16" s="5">
        <v>-12.705533770000001</v>
      </c>
      <c r="O16" s="5">
        <v>6.4970080699999997</v>
      </c>
      <c r="P16" s="5">
        <v>-14.050171499999999</v>
      </c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>
        <v>1.5684899999999999</v>
      </c>
      <c r="AJ16" s="5">
        <v>-8.8994300000000006</v>
      </c>
      <c r="AK16" s="5">
        <v>1.5684899999999999</v>
      </c>
      <c r="AL16" s="5">
        <v>-10.46449</v>
      </c>
    </row>
    <row r="17" spans="13:38" x14ac:dyDescent="0.2">
      <c r="M17">
        <v>6.4</v>
      </c>
      <c r="N17" s="5">
        <v>-12.991399830000001</v>
      </c>
      <c r="O17" s="5">
        <v>6.5405117700000002</v>
      </c>
      <c r="P17" s="5">
        <v>-14.163991879999999</v>
      </c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>
        <v>1.6090899999999999</v>
      </c>
      <c r="AJ17" s="5">
        <v>-8.8994300000000006</v>
      </c>
      <c r="AK17" s="5">
        <v>1.6090899999999999</v>
      </c>
      <c r="AL17" s="5">
        <v>-10.46449</v>
      </c>
    </row>
    <row r="18" spans="13:38" x14ac:dyDescent="0.2">
      <c r="M18">
        <v>6.5</v>
      </c>
      <c r="N18" s="5">
        <v>-13.25649024</v>
      </c>
      <c r="O18" s="5">
        <v>6.5815586899999996</v>
      </c>
      <c r="P18" s="5">
        <v>-14.273449449999999</v>
      </c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>
        <v>1.6496999999999999</v>
      </c>
      <c r="AJ18" s="5">
        <v>-8.8994300000000006</v>
      </c>
      <c r="AK18" s="5">
        <v>1.6496999999999999</v>
      </c>
      <c r="AL18" s="5">
        <v>-10.46448</v>
      </c>
    </row>
    <row r="19" spans="13:38" x14ac:dyDescent="0.2">
      <c r="M19">
        <v>6.6</v>
      </c>
      <c r="N19" s="5">
        <v>-13.50445566</v>
      </c>
      <c r="O19" s="5">
        <v>6.6210578900000003</v>
      </c>
      <c r="P19" s="5">
        <v>-14.394774979999999</v>
      </c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>
        <v>1.69031</v>
      </c>
      <c r="AJ19" s="5">
        <v>-8.8994300000000006</v>
      </c>
      <c r="AK19" s="5">
        <v>1.69031</v>
      </c>
      <c r="AL19" s="5">
        <v>-10.46447</v>
      </c>
    </row>
    <row r="20" spans="13:38" x14ac:dyDescent="0.2">
      <c r="M20">
        <v>6.7</v>
      </c>
      <c r="N20" s="5">
        <v>-13.73992861</v>
      </c>
      <c r="O20" s="5">
        <v>6.6603897999999999</v>
      </c>
      <c r="P20" s="5">
        <v>-14.531602230000001</v>
      </c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>
        <v>1.7309099999999999</v>
      </c>
      <c r="AJ20" s="5">
        <v>-8.8994300000000006</v>
      </c>
      <c r="AK20" s="5">
        <v>1.7309099999999999</v>
      </c>
      <c r="AL20" s="5">
        <v>-10.464460000000001</v>
      </c>
    </row>
    <row r="21" spans="13:38" x14ac:dyDescent="0.2">
      <c r="M21">
        <v>6.8</v>
      </c>
      <c r="N21" s="5">
        <v>-13.96657624</v>
      </c>
      <c r="O21" s="5">
        <v>6.6969142399999999</v>
      </c>
      <c r="P21" s="5">
        <v>-14.64955544</v>
      </c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>
        <v>1.77152</v>
      </c>
      <c r="AJ21" s="5">
        <v>-8.8994300000000006</v>
      </c>
      <c r="AK21" s="5">
        <v>1.77152</v>
      </c>
      <c r="AL21" s="5">
        <v>-10.464449999999999</v>
      </c>
    </row>
    <row r="22" spans="13:38" x14ac:dyDescent="0.2">
      <c r="M22">
        <v>6.9</v>
      </c>
      <c r="N22" s="5">
        <v>-14.187755299999999</v>
      </c>
      <c r="O22" s="5">
        <v>6.73343867</v>
      </c>
      <c r="P22" s="5">
        <v>-14.752488789999999</v>
      </c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>
        <v>1.81213</v>
      </c>
      <c r="AJ22" s="5">
        <v>-8.8994300000000006</v>
      </c>
      <c r="AK22" s="5">
        <v>1.81213</v>
      </c>
      <c r="AL22" s="5">
        <v>-10.46444</v>
      </c>
    </row>
    <row r="23" spans="13:38" x14ac:dyDescent="0.2">
      <c r="M23">
        <v>7</v>
      </c>
      <c r="N23" s="5">
        <v>-14.401209489999999</v>
      </c>
      <c r="O23" s="5">
        <v>6.76940439</v>
      </c>
      <c r="P23" s="5">
        <v>-14.881222340000001</v>
      </c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>
        <v>1.85273</v>
      </c>
      <c r="AJ23" s="5">
        <v>-8.8994300000000006</v>
      </c>
      <c r="AK23" s="5">
        <v>1.85273</v>
      </c>
      <c r="AL23" s="5">
        <v>-10.46443</v>
      </c>
    </row>
    <row r="24" spans="13:38" x14ac:dyDescent="0.2">
      <c r="M24" s="5">
        <v>7.0599285099999998</v>
      </c>
      <c r="N24" s="5">
        <v>-14.44838395</v>
      </c>
      <c r="O24" s="5">
        <v>6.8040068099999997</v>
      </c>
      <c r="P24" s="5">
        <v>-15.00822488</v>
      </c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>
        <v>1.89334</v>
      </c>
      <c r="AJ24" s="5">
        <v>-8.8994400000000002</v>
      </c>
      <c r="AK24" s="5">
        <v>1.89334</v>
      </c>
      <c r="AL24" s="5">
        <v>-10.464410000000001</v>
      </c>
    </row>
    <row r="25" spans="13:38" x14ac:dyDescent="0.2">
      <c r="M25" s="5">
        <v>7.6911308399999996</v>
      </c>
      <c r="N25" s="5">
        <v>-15.3539636</v>
      </c>
      <c r="O25" s="5">
        <v>6.8386092300000003</v>
      </c>
      <c r="P25" s="5">
        <v>-15.133343330000001</v>
      </c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>
        <v>1.93394</v>
      </c>
      <c r="AJ25" s="5">
        <v>-8.8994400000000002</v>
      </c>
      <c r="AK25" s="5">
        <v>1.93394</v>
      </c>
      <c r="AL25" s="5">
        <v>-10.464399999999999</v>
      </c>
    </row>
    <row r="26" spans="13:38" x14ac:dyDescent="0.2">
      <c r="M26" s="5">
        <v>8.2194749199999997</v>
      </c>
      <c r="N26" s="5">
        <v>-15.77711152</v>
      </c>
      <c r="O26" s="5">
        <v>6.8729025000000004</v>
      </c>
      <c r="P26" s="5">
        <v>-15.257332959999999</v>
      </c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>
        <v>1.97455</v>
      </c>
      <c r="AJ26" s="5">
        <v>-8.8994499999999999</v>
      </c>
      <c r="AK26" s="5">
        <v>1.97455</v>
      </c>
      <c r="AL26" s="5">
        <v>-10.46438</v>
      </c>
    </row>
    <row r="27" spans="13:38" x14ac:dyDescent="0.2">
      <c r="M27" s="5">
        <v>8.2194749199999997</v>
      </c>
      <c r="N27" s="5">
        <v>-15.77711152</v>
      </c>
      <c r="O27" s="5">
        <v>6.9066727800000001</v>
      </c>
      <c r="P27" s="5">
        <v>-15.38022234</v>
      </c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>
        <v>2.0151599999999998</v>
      </c>
      <c r="AJ27" s="5">
        <v>-8.8994599999999995</v>
      </c>
      <c r="AK27" s="5">
        <v>2.0151599999999998</v>
      </c>
      <c r="AL27" s="5">
        <v>-10.464370000000001</v>
      </c>
    </row>
    <row r="28" spans="13:38" x14ac:dyDescent="0.2">
      <c r="M28" s="5">
        <v>8.2194749199999997</v>
      </c>
      <c r="N28" s="5">
        <v>-15.77711152</v>
      </c>
      <c r="O28" s="5">
        <v>6.9404430699999997</v>
      </c>
      <c r="P28" s="5">
        <v>-15.51571251</v>
      </c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>
        <v>2.0557599999999998</v>
      </c>
      <c r="AJ28" s="5">
        <v>-8.8994800000000005</v>
      </c>
      <c r="AK28" s="5">
        <v>2.0557599999999998</v>
      </c>
      <c r="AL28" s="5">
        <v>-10.46435</v>
      </c>
    </row>
    <row r="29" spans="13:38" x14ac:dyDescent="0.2">
      <c r="M29" s="5">
        <v>8.2194749199999997</v>
      </c>
      <c r="N29" s="5">
        <v>-15.77711152</v>
      </c>
      <c r="O29" s="5">
        <v>6.97431497</v>
      </c>
      <c r="P29" s="5">
        <v>-15.662855609999999</v>
      </c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>
        <v>2.0963699999999998</v>
      </c>
      <c r="AJ29" s="5">
        <v>-8.8994900000000001</v>
      </c>
      <c r="AK29" s="5">
        <v>2.0963699999999998</v>
      </c>
      <c r="AL29" s="5">
        <v>-10.46433</v>
      </c>
    </row>
    <row r="30" spans="13:38" x14ac:dyDescent="0.2">
      <c r="M30" s="5">
        <v>8.2194749199999997</v>
      </c>
      <c r="N30" s="5">
        <v>-15.77711152</v>
      </c>
      <c r="O30" s="5">
        <v>7.0083523300000001</v>
      </c>
      <c r="P30" s="5">
        <v>-15.783129199999999</v>
      </c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>
        <v>2.1369799999999999</v>
      </c>
      <c r="AJ30" s="5">
        <v>-8.8995099999999994</v>
      </c>
      <c r="AK30" s="5">
        <v>2.1369799999999999</v>
      </c>
      <c r="AL30" s="5">
        <v>-10.464309999999999</v>
      </c>
    </row>
    <row r="31" spans="13:38" x14ac:dyDescent="0.2">
      <c r="M31" s="5">
        <v>8.2194749199999997</v>
      </c>
      <c r="N31" s="5">
        <v>-15.77711152</v>
      </c>
      <c r="O31" s="5">
        <v>7.0423896900000003</v>
      </c>
      <c r="P31" s="5">
        <v>-15.93792086</v>
      </c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>
        <v>2.1775799999999998</v>
      </c>
      <c r="AJ31" s="5">
        <v>-8.8995300000000004</v>
      </c>
      <c r="AK31" s="5">
        <v>2.1775799999999998</v>
      </c>
      <c r="AL31" s="5">
        <v>-10.4643</v>
      </c>
    </row>
    <row r="32" spans="13:38" x14ac:dyDescent="0.2">
      <c r="M32" s="5">
        <v>8.2194749199999997</v>
      </c>
      <c r="N32" s="5">
        <v>-15.77711152</v>
      </c>
      <c r="O32" s="5">
        <v>7.0769819099999998</v>
      </c>
      <c r="P32" s="5">
        <v>-16.060648350000001</v>
      </c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>
        <v>2.2181899999999999</v>
      </c>
      <c r="AJ32" s="5">
        <v>-8.89954</v>
      </c>
      <c r="AK32" s="5">
        <v>2.2181899999999999</v>
      </c>
      <c r="AL32" s="5">
        <v>-10.46428</v>
      </c>
    </row>
    <row r="33" spans="13:38" x14ac:dyDescent="0.2">
      <c r="M33" s="5">
        <v>8.2194749199999997</v>
      </c>
      <c r="N33" s="5">
        <v>-15.77711152</v>
      </c>
      <c r="O33" s="5">
        <v>7.1123633899999996</v>
      </c>
      <c r="P33" s="5">
        <v>-16.234761720000002</v>
      </c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>
        <v>2.2587899999999999</v>
      </c>
      <c r="AJ33" s="5">
        <v>-8.8995599999999992</v>
      </c>
      <c r="AK33" s="5">
        <v>2.2587899999999999</v>
      </c>
      <c r="AL33" s="5">
        <v>-10.464259999999999</v>
      </c>
    </row>
    <row r="34" spans="13:38" x14ac:dyDescent="0.2">
      <c r="M34" s="5">
        <v>8.2194749199999997</v>
      </c>
      <c r="N34" s="5">
        <v>-15.77711152</v>
      </c>
      <c r="O34" s="5">
        <v>7.1477448600000004</v>
      </c>
      <c r="P34" s="5">
        <v>-16.373993250000002</v>
      </c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>
        <v>2.2993999999999999</v>
      </c>
      <c r="AJ34" s="5">
        <v>-8.8995800000000003</v>
      </c>
      <c r="AK34" s="5">
        <v>2.2993999999999999</v>
      </c>
      <c r="AL34" s="5">
        <v>-10.46425</v>
      </c>
    </row>
    <row r="35" spans="13:38" x14ac:dyDescent="0.2">
      <c r="M35" s="5">
        <v>8.2194749199999997</v>
      </c>
      <c r="N35" s="5">
        <v>-15.77711152</v>
      </c>
      <c r="O35" s="5">
        <v>7.1844553199999996</v>
      </c>
      <c r="P35" s="5">
        <v>-16.528944429999999</v>
      </c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>
        <v>2.3400099999999999</v>
      </c>
      <c r="AJ35" s="5">
        <v>-8.8995999999999995</v>
      </c>
      <c r="AK35" s="5">
        <v>2.3400099999999999</v>
      </c>
      <c r="AL35" s="5">
        <v>-10.464230000000001</v>
      </c>
    </row>
    <row r="36" spans="13:38" x14ac:dyDescent="0.2">
      <c r="M36" s="5">
        <v>8.2194749199999997</v>
      </c>
      <c r="N36" s="5">
        <v>-15.77711152</v>
      </c>
      <c r="O36" s="5">
        <v>7.2222188100000002</v>
      </c>
      <c r="P36" s="5">
        <v>-16.704129340000001</v>
      </c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>
        <v>2.3806099999999999</v>
      </c>
      <c r="AJ36" s="5">
        <v>-8.8996300000000002</v>
      </c>
      <c r="AK36" s="5">
        <v>2.3806099999999999</v>
      </c>
      <c r="AL36" s="5">
        <v>-10.46421</v>
      </c>
    </row>
    <row r="37" spans="13:38" x14ac:dyDescent="0.2">
      <c r="M37" s="5">
        <v>8.2194749199999997</v>
      </c>
      <c r="N37" s="5">
        <v>-15.77711152</v>
      </c>
      <c r="O37" s="5">
        <v>7.2599822999999999</v>
      </c>
      <c r="P37" s="5">
        <v>-16.87881531</v>
      </c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>
        <v>2.4212199999999999</v>
      </c>
      <c r="AJ37" s="5">
        <v>-8.8996499999999994</v>
      </c>
      <c r="AK37" s="5">
        <v>2.4212199999999999</v>
      </c>
      <c r="AL37" s="5">
        <v>-10.4642</v>
      </c>
    </row>
    <row r="38" spans="13:38" x14ac:dyDescent="0.2">
      <c r="M38" s="5">
        <v>8.2194749199999997</v>
      </c>
      <c r="N38" s="5">
        <v>-15.77711152</v>
      </c>
      <c r="O38" s="5">
        <v>7.3007303800000001</v>
      </c>
      <c r="P38" s="5">
        <v>-17.053332739999998</v>
      </c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>
        <v>2.46183</v>
      </c>
      <c r="AJ38" s="5">
        <v>-8.8996700000000004</v>
      </c>
      <c r="AK38" s="5">
        <v>2.46183</v>
      </c>
      <c r="AL38" s="5">
        <v>-10.464180000000001</v>
      </c>
    </row>
    <row r="39" spans="13:38" x14ac:dyDescent="0.2">
      <c r="M39" s="5">
        <v>8.2194749199999997</v>
      </c>
      <c r="N39" s="5">
        <v>-15.77711152</v>
      </c>
      <c r="O39" s="5">
        <v>7.3418734700000003</v>
      </c>
      <c r="P39" s="5">
        <v>-17.234614690000001</v>
      </c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>
        <v>2.5024299999999999</v>
      </c>
      <c r="AJ39" s="5">
        <v>-8.8996899999999997</v>
      </c>
      <c r="AK39" s="5">
        <v>2.5024299999999999</v>
      </c>
      <c r="AL39" s="5">
        <v>-10.464169999999999</v>
      </c>
    </row>
    <row r="40" spans="13:38" x14ac:dyDescent="0.2">
      <c r="M40" s="5">
        <v>8.2194749199999997</v>
      </c>
      <c r="N40" s="5">
        <v>-15.77711152</v>
      </c>
      <c r="O40" s="5">
        <v>7.3848768099999997</v>
      </c>
      <c r="P40" s="5">
        <v>-17.45962415</v>
      </c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>
        <v>2.54304</v>
      </c>
      <c r="AJ40" s="5">
        <v>-8.8997200000000003</v>
      </c>
      <c r="AK40" s="5">
        <v>2.54304</v>
      </c>
      <c r="AL40" s="5">
        <v>-10.46416</v>
      </c>
    </row>
    <row r="41" spans="13:38" x14ac:dyDescent="0.2">
      <c r="M41" s="5">
        <v>8.2194749199999997</v>
      </c>
      <c r="N41" s="5">
        <v>-15.77711152</v>
      </c>
      <c r="O41" s="5">
        <v>7.4303660200000001</v>
      </c>
      <c r="P41" s="5">
        <v>-17.634743790000002</v>
      </c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>
        <v>2.5836399999999999</v>
      </c>
      <c r="AJ41" s="5">
        <v>-8.8997399999999995</v>
      </c>
      <c r="AK41" s="5">
        <v>2.5836399999999999</v>
      </c>
      <c r="AL41" s="5">
        <v>-10.46415</v>
      </c>
    </row>
    <row r="42" spans="13:38" x14ac:dyDescent="0.2">
      <c r="M42" s="5">
        <v>8.2194749199999997</v>
      </c>
      <c r="N42" s="5">
        <v>-15.77711152</v>
      </c>
      <c r="O42" s="5">
        <v>7.4769540900000004</v>
      </c>
      <c r="P42" s="5">
        <v>-17.868469860000001</v>
      </c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>
        <v>2.62425</v>
      </c>
      <c r="AJ42" s="5">
        <v>-8.8997600000000006</v>
      </c>
      <c r="AK42" s="5">
        <v>2.62425</v>
      </c>
      <c r="AL42" s="5">
        <v>-10.46414</v>
      </c>
    </row>
    <row r="43" spans="13:38" x14ac:dyDescent="0.2">
      <c r="M43" s="5">
        <v>8.2194749199999997</v>
      </c>
      <c r="N43" s="5">
        <v>-15.77711152</v>
      </c>
      <c r="O43" s="5">
        <v>7.5277391800000002</v>
      </c>
      <c r="P43" s="5">
        <v>-18.103855809999999</v>
      </c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>
        <v>2.66486</v>
      </c>
      <c r="AJ43" s="5">
        <v>-8.8997799999999998</v>
      </c>
      <c r="AK43" s="5">
        <v>2.66486</v>
      </c>
      <c r="AL43" s="5">
        <v>-10.464130000000001</v>
      </c>
    </row>
    <row r="44" spans="13:38" x14ac:dyDescent="0.2">
      <c r="M44" s="5">
        <v>8.2194749199999997</v>
      </c>
      <c r="N44" s="5">
        <v>-15.77711152</v>
      </c>
      <c r="O44" s="5">
        <v>7.5798888800000004</v>
      </c>
      <c r="P44" s="5">
        <v>-18.341647770000002</v>
      </c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>
        <v>2.70546</v>
      </c>
      <c r="AJ44" s="5">
        <v>-8.8998100000000004</v>
      </c>
      <c r="AK44" s="5">
        <v>2.70546</v>
      </c>
      <c r="AL44" s="5">
        <v>-10.464130000000001</v>
      </c>
    </row>
    <row r="45" spans="13:38" x14ac:dyDescent="0.2">
      <c r="M45" s="5">
        <v>8.2194749199999997</v>
      </c>
      <c r="N45" s="5">
        <v>-15.77711152</v>
      </c>
      <c r="O45" s="5">
        <v>7.6368999799999999</v>
      </c>
      <c r="P45" s="5">
        <v>-18.642444019999999</v>
      </c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>
        <v>2.74607</v>
      </c>
      <c r="AJ45" s="5">
        <v>-8.8998299999999997</v>
      </c>
      <c r="AK45" s="5">
        <v>2.74607</v>
      </c>
      <c r="AL45" s="5">
        <v>-10.464119999999999</v>
      </c>
    </row>
    <row r="46" spans="13:38" x14ac:dyDescent="0.2">
      <c r="M46" s="5">
        <v>8.2194749199999997</v>
      </c>
      <c r="N46" s="5">
        <v>-15.77711152</v>
      </c>
      <c r="O46" s="5">
        <v>7.6971520299999998</v>
      </c>
      <c r="P46" s="5">
        <v>-18.912383269999999</v>
      </c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>
        <v>2.78668</v>
      </c>
      <c r="AJ46" s="5">
        <v>-8.8998500000000007</v>
      </c>
      <c r="AK46" s="5">
        <v>2.78668</v>
      </c>
      <c r="AL46" s="5">
        <v>-10.464119999999999</v>
      </c>
    </row>
    <row r="47" spans="13:38" x14ac:dyDescent="0.2">
      <c r="M47" s="5">
        <v>8.2194749199999997</v>
      </c>
      <c r="N47" s="5">
        <v>-15.77711152</v>
      </c>
      <c r="O47" s="5">
        <v>7.7613901600000004</v>
      </c>
      <c r="P47" s="5">
        <v>-19.19986557</v>
      </c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>
        <v>2.82728</v>
      </c>
      <c r="AJ47" s="5">
        <v>-8.8998699999999999</v>
      </c>
      <c r="AK47" s="5">
        <v>2.82728</v>
      </c>
      <c r="AL47" s="5">
        <v>-10.464119999999999</v>
      </c>
    </row>
    <row r="48" spans="13:38" x14ac:dyDescent="0.2">
      <c r="M48" s="5">
        <v>8.2194749199999997</v>
      </c>
      <c r="N48" s="5">
        <v>-15.77711152</v>
      </c>
      <c r="O48" s="5">
        <v>7.8328003600000002</v>
      </c>
      <c r="P48" s="5">
        <v>-19.550037440000001</v>
      </c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>
        <v>2.8678900000000001</v>
      </c>
      <c r="AJ48" s="5">
        <v>-8.8998899999999992</v>
      </c>
      <c r="AK48" s="5">
        <v>2.8678900000000001</v>
      </c>
      <c r="AL48" s="5">
        <v>-10.464119999999999</v>
      </c>
    </row>
    <row r="49" spans="13:38" x14ac:dyDescent="0.2">
      <c r="M49" s="5">
        <v>8.2194749199999997</v>
      </c>
      <c r="N49" s="5">
        <v>-15.77711152</v>
      </c>
      <c r="O49" s="5">
        <v>8.25</v>
      </c>
      <c r="P49" s="5">
        <v>-22.5</v>
      </c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>
        <v>2.90849</v>
      </c>
      <c r="AJ49" s="5">
        <v>-8.8999100000000002</v>
      </c>
      <c r="AK49" s="5">
        <v>2.90849</v>
      </c>
      <c r="AL49" s="5">
        <v>-10.464130000000001</v>
      </c>
    </row>
    <row r="50" spans="13:38" x14ac:dyDescent="0.2">
      <c r="M50" s="5">
        <v>8.2194749199999997</v>
      </c>
      <c r="N50" s="5">
        <v>-15.77711152</v>
      </c>
      <c r="O50" s="5">
        <v>8.25</v>
      </c>
      <c r="P50" s="5">
        <v>-22.5</v>
      </c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>
        <v>2.9491000000000001</v>
      </c>
      <c r="AJ50" s="5">
        <v>-8.8999199999999998</v>
      </c>
      <c r="AK50" s="5">
        <v>2.9491000000000001</v>
      </c>
      <c r="AL50" s="5">
        <v>-10.464130000000001</v>
      </c>
    </row>
    <row r="51" spans="13:38" x14ac:dyDescent="0.2">
      <c r="M51" s="5">
        <v>8.2194749199999997</v>
      </c>
      <c r="N51" s="5">
        <v>-15.77711152</v>
      </c>
      <c r="O51" s="5">
        <v>8.25</v>
      </c>
      <c r="P51" s="5">
        <v>-22.5</v>
      </c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>
        <v>2.9897100000000001</v>
      </c>
      <c r="AJ51" s="5">
        <v>-8.8999400000000009</v>
      </c>
      <c r="AK51" s="5">
        <v>2.9897100000000001</v>
      </c>
      <c r="AL51" s="5">
        <v>-10.46414</v>
      </c>
    </row>
    <row r="52" spans="13:38" x14ac:dyDescent="0.2">
      <c r="M52" s="5">
        <v>8.2194749199999997</v>
      </c>
      <c r="N52" s="5">
        <v>-15.77711152</v>
      </c>
      <c r="O52" s="5">
        <v>8.25</v>
      </c>
      <c r="P52" s="5">
        <v>-22.5</v>
      </c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>
        <v>3.0303100000000001</v>
      </c>
      <c r="AJ52" s="5">
        <v>-8.8999500000000005</v>
      </c>
      <c r="AK52" s="5">
        <v>3.0303100000000001</v>
      </c>
      <c r="AL52" s="5">
        <v>-10.46416</v>
      </c>
    </row>
    <row r="53" spans="13:38" x14ac:dyDescent="0.2">
      <c r="M53" s="5">
        <v>8.2194749199999997</v>
      </c>
      <c r="N53" s="5">
        <v>-15.77711152</v>
      </c>
      <c r="O53" s="5">
        <v>8.25</v>
      </c>
      <c r="P53" s="5">
        <v>-22.5</v>
      </c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>
        <v>3.0709200000000001</v>
      </c>
      <c r="AJ53" s="5">
        <v>-8.8999699999999997</v>
      </c>
      <c r="AK53" s="5">
        <v>3.0709200000000001</v>
      </c>
      <c r="AL53" s="5">
        <v>-10.464169999999999</v>
      </c>
    </row>
    <row r="54" spans="13:38" x14ac:dyDescent="0.2">
      <c r="M54" s="5">
        <v>8.2194749199999997</v>
      </c>
      <c r="N54" s="5">
        <v>-15.77711152</v>
      </c>
      <c r="O54" s="5">
        <v>8.25</v>
      </c>
      <c r="P54" s="5">
        <v>-22.5</v>
      </c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>
        <v>3.1115300000000001</v>
      </c>
      <c r="AJ54" s="5">
        <v>-8.8999799999999993</v>
      </c>
      <c r="AK54" s="5">
        <v>3.1115300000000001</v>
      </c>
      <c r="AL54" s="5">
        <v>-10.46419</v>
      </c>
    </row>
    <row r="55" spans="13:38" x14ac:dyDescent="0.2">
      <c r="M55" s="5">
        <v>8.2194749199999997</v>
      </c>
      <c r="N55" s="5">
        <v>-15.77711152</v>
      </c>
      <c r="O55" s="5">
        <v>8.25</v>
      </c>
      <c r="P55" s="5">
        <v>-22.5</v>
      </c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>
        <v>3.1521300000000001</v>
      </c>
      <c r="AJ55" s="5">
        <v>-8.8999900000000007</v>
      </c>
      <c r="AK55" s="5">
        <v>3.1521300000000001</v>
      </c>
      <c r="AL55" s="5">
        <v>-10.46421</v>
      </c>
    </row>
    <row r="56" spans="13:38" x14ac:dyDescent="0.2">
      <c r="M56" s="5">
        <v>8.2194749199999997</v>
      </c>
      <c r="N56" s="5">
        <v>-15.77711152</v>
      </c>
      <c r="O56" s="5">
        <v>8.25</v>
      </c>
      <c r="P56" s="5">
        <v>-22.5</v>
      </c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>
        <v>3.1927400000000001</v>
      </c>
      <c r="AJ56" s="5">
        <v>-8.9</v>
      </c>
      <c r="AK56" s="5">
        <v>3.1927400000000001</v>
      </c>
      <c r="AL56" s="5">
        <v>-10.46424</v>
      </c>
    </row>
    <row r="57" spans="13:38" x14ac:dyDescent="0.2">
      <c r="M57" s="5">
        <v>8.2194749199999997</v>
      </c>
      <c r="N57" s="5">
        <v>-15.77711152</v>
      </c>
      <c r="O57" s="5">
        <v>8.25</v>
      </c>
      <c r="P57" s="5">
        <v>-22.5</v>
      </c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>
        <v>3.2333400000000001</v>
      </c>
      <c r="AJ57" s="5">
        <v>-8.9</v>
      </c>
      <c r="AK57" s="5">
        <v>3.2333400000000001</v>
      </c>
      <c r="AL57" s="5">
        <v>-10.464270000000001</v>
      </c>
    </row>
    <row r="58" spans="13:38" x14ac:dyDescent="0.2">
      <c r="M58" s="5">
        <v>8.2194749199999997</v>
      </c>
      <c r="N58" s="5">
        <v>-15.77711152</v>
      </c>
      <c r="O58" s="5">
        <v>8.25</v>
      </c>
      <c r="P58" s="5">
        <v>-22.5</v>
      </c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>
        <v>3.2739500000000001</v>
      </c>
      <c r="AJ58" s="5">
        <v>-8.90001</v>
      </c>
      <c r="AK58" s="5">
        <v>3.2739500000000001</v>
      </c>
      <c r="AL58" s="5">
        <v>-10.4643</v>
      </c>
    </row>
    <row r="59" spans="13:38" x14ac:dyDescent="0.2">
      <c r="M59" s="5">
        <v>8.2194749199999997</v>
      </c>
      <c r="N59" s="5">
        <v>-15.77711152</v>
      </c>
      <c r="O59" s="5">
        <v>8.25</v>
      </c>
      <c r="P59" s="5">
        <v>-22.5</v>
      </c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>
        <v>3.3145600000000002</v>
      </c>
      <c r="AJ59" s="5">
        <v>-8.90001</v>
      </c>
      <c r="AK59" s="5">
        <v>3.3145600000000002</v>
      </c>
      <c r="AL59" s="5">
        <v>-10.46433</v>
      </c>
    </row>
    <row r="60" spans="13:38" x14ac:dyDescent="0.2">
      <c r="M60" s="5">
        <v>8.2194749199999997</v>
      </c>
      <c r="N60" s="5">
        <v>-15.77711152</v>
      </c>
      <c r="O60" s="5">
        <v>8.25</v>
      </c>
      <c r="P60" s="5">
        <v>-22.5</v>
      </c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>
        <v>3.3551600000000001</v>
      </c>
      <c r="AJ60" s="5">
        <v>-8.9</v>
      </c>
      <c r="AK60" s="5">
        <v>3.3551600000000001</v>
      </c>
      <c r="AL60" s="5">
        <v>-10.464370000000001</v>
      </c>
    </row>
    <row r="61" spans="13:38" x14ac:dyDescent="0.2">
      <c r="M61" s="5">
        <v>8.2194749199999997</v>
      </c>
      <c r="N61" s="5">
        <v>-15.77711152</v>
      </c>
      <c r="O61" s="5">
        <v>8.25</v>
      </c>
      <c r="P61" s="5">
        <v>-22.5</v>
      </c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>
        <v>3.3957700000000002</v>
      </c>
      <c r="AJ61" s="5">
        <v>-8.9</v>
      </c>
      <c r="AK61" s="5">
        <v>3.3957700000000002</v>
      </c>
      <c r="AL61" s="5">
        <v>-10.46442</v>
      </c>
    </row>
    <row r="62" spans="13:38" x14ac:dyDescent="0.2">
      <c r="M62" s="5">
        <v>8.2194749199999997</v>
      </c>
      <c r="N62" s="5">
        <v>-15.77711152</v>
      </c>
      <c r="O62" s="5">
        <v>8.25</v>
      </c>
      <c r="P62" s="5">
        <v>-22.5</v>
      </c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>
        <v>3.4363800000000002</v>
      </c>
      <c r="AJ62" s="5">
        <v>-8.9</v>
      </c>
      <c r="AK62" s="5">
        <v>3.4363800000000002</v>
      </c>
      <c r="AL62" s="5">
        <v>-10.464460000000001</v>
      </c>
    </row>
    <row r="63" spans="13:38" x14ac:dyDescent="0.2">
      <c r="M63" s="5">
        <v>8.2194749199999997</v>
      </c>
      <c r="N63" s="5">
        <v>-15.77711152</v>
      </c>
      <c r="O63" s="5">
        <v>8.25</v>
      </c>
      <c r="P63" s="5">
        <v>-22.5</v>
      </c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>
        <v>3.4769800000000002</v>
      </c>
      <c r="AJ63" s="5">
        <v>-8.8999900000000007</v>
      </c>
      <c r="AK63" s="5">
        <v>3.4769800000000002</v>
      </c>
      <c r="AL63" s="5">
        <v>-10.46452</v>
      </c>
    </row>
    <row r="64" spans="13:38" x14ac:dyDescent="0.2">
      <c r="M64" s="5">
        <v>8.2194749199999997</v>
      </c>
      <c r="N64" s="5">
        <v>-15.77711152</v>
      </c>
      <c r="O64" s="5">
        <v>8.25</v>
      </c>
      <c r="P64" s="5">
        <v>-22.5</v>
      </c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>
        <v>3.5175900000000002</v>
      </c>
      <c r="AJ64" s="5">
        <v>-8.8999799999999993</v>
      </c>
      <c r="AK64" s="5">
        <v>3.5175900000000002</v>
      </c>
      <c r="AL64" s="5">
        <v>-10.46457</v>
      </c>
    </row>
    <row r="65" spans="13:38" x14ac:dyDescent="0.2">
      <c r="M65" s="5">
        <v>8.2194749199999997</v>
      </c>
      <c r="N65" s="5">
        <v>-15.77711152</v>
      </c>
      <c r="O65" s="5">
        <v>8.25</v>
      </c>
      <c r="P65" s="5">
        <v>-22.5</v>
      </c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>
        <v>3.5581900000000002</v>
      </c>
      <c r="AJ65" s="5">
        <v>-8.8999600000000001</v>
      </c>
      <c r="AK65" s="5">
        <v>3.5581900000000002</v>
      </c>
      <c r="AL65" s="5">
        <v>-10.46463</v>
      </c>
    </row>
    <row r="66" spans="13:38" x14ac:dyDescent="0.2">
      <c r="M66" s="5">
        <v>8.2194749199999997</v>
      </c>
      <c r="N66" s="5">
        <v>-15.77711152</v>
      </c>
      <c r="O66" s="5">
        <v>8.25</v>
      </c>
      <c r="P66" s="5">
        <v>-22.5</v>
      </c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>
        <v>3.5988000000000002</v>
      </c>
      <c r="AJ66" s="5">
        <v>-8.8999400000000009</v>
      </c>
      <c r="AK66" s="5">
        <v>3.5988000000000002</v>
      </c>
      <c r="AL66" s="5">
        <v>-10.464700000000001</v>
      </c>
    </row>
    <row r="67" spans="13:38" x14ac:dyDescent="0.2">
      <c r="M67" s="5">
        <v>8.2194749199999997</v>
      </c>
      <c r="N67" s="5">
        <v>-15.77711152</v>
      </c>
      <c r="O67" s="5">
        <v>8.25</v>
      </c>
      <c r="P67" s="5">
        <v>-22.5</v>
      </c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>
        <v>3.6394099999999998</v>
      </c>
      <c r="AJ67" s="5">
        <v>-8.8999400000000009</v>
      </c>
      <c r="AK67" s="5">
        <v>3.6394099999999998</v>
      </c>
      <c r="AL67" s="5">
        <v>-10.46477</v>
      </c>
    </row>
    <row r="68" spans="13:38" x14ac:dyDescent="0.2">
      <c r="M68" s="5">
        <v>8.2194749199999997</v>
      </c>
      <c r="N68" s="5">
        <v>-15.77711152</v>
      </c>
      <c r="O68" s="5">
        <v>8.25</v>
      </c>
      <c r="P68" s="5">
        <v>-22.5</v>
      </c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>
        <v>3.6800099999999998</v>
      </c>
      <c r="AJ68" s="5">
        <v>-8.8999600000000001</v>
      </c>
      <c r="AK68" s="5">
        <v>3.6800099999999998</v>
      </c>
      <c r="AL68" s="5">
        <v>-10.464840000000001</v>
      </c>
    </row>
    <row r="69" spans="13:38" x14ac:dyDescent="0.2">
      <c r="M69" s="5">
        <v>8.2194749199999997</v>
      </c>
      <c r="N69" s="5">
        <v>-15.77711152</v>
      </c>
      <c r="O69" s="5">
        <v>8.25</v>
      </c>
      <c r="P69" s="5">
        <v>-22.5</v>
      </c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>
        <v>3.7206199999999998</v>
      </c>
      <c r="AJ69" s="5">
        <v>-8.9000199999999996</v>
      </c>
      <c r="AK69" s="5">
        <v>3.7206199999999998</v>
      </c>
      <c r="AL69" s="5">
        <v>-10.464919999999999</v>
      </c>
    </row>
    <row r="70" spans="13:38" x14ac:dyDescent="0.2">
      <c r="M70" s="5">
        <v>8.2194749199999997</v>
      </c>
      <c r="N70" s="5">
        <v>-15.77711152</v>
      </c>
      <c r="O70" s="5">
        <v>8.25</v>
      </c>
      <c r="P70" s="5">
        <v>-22.5</v>
      </c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>
        <v>3.7612299999999999</v>
      </c>
      <c r="AJ70" s="5">
        <v>-8.9001400000000004</v>
      </c>
      <c r="AK70" s="5">
        <v>3.7612299999999999</v>
      </c>
      <c r="AL70" s="5">
        <v>-10.465009999999999</v>
      </c>
    </row>
    <row r="71" spans="13:38" x14ac:dyDescent="0.2">
      <c r="M71" s="5">
        <v>8.2194749199999997</v>
      </c>
      <c r="N71" s="5">
        <v>-15.77711152</v>
      </c>
      <c r="O71" s="5">
        <v>8.25</v>
      </c>
      <c r="P71" s="5">
        <v>-22.5</v>
      </c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>
        <v>3.8018299999999998</v>
      </c>
      <c r="AJ71" s="5">
        <v>-8.9003099999999993</v>
      </c>
      <c r="AK71" s="5">
        <v>3.8018299999999998</v>
      </c>
      <c r="AL71" s="5">
        <v>-10.4651</v>
      </c>
    </row>
    <row r="72" spans="13:38" x14ac:dyDescent="0.2">
      <c r="M72" s="5">
        <v>8.2194749199999997</v>
      </c>
      <c r="N72" s="5">
        <v>-15.77711152</v>
      </c>
      <c r="O72" s="5">
        <v>8.25</v>
      </c>
      <c r="P72" s="5">
        <v>-22.5</v>
      </c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>
        <v>3.8424399999999999</v>
      </c>
      <c r="AJ72" s="5">
        <v>-8.9004499999999993</v>
      </c>
      <c r="AK72" s="5">
        <v>3.8424399999999999</v>
      </c>
      <c r="AL72" s="5">
        <v>-10.465199999999999</v>
      </c>
    </row>
    <row r="73" spans="13:38" x14ac:dyDescent="0.2">
      <c r="M73" s="5">
        <v>8.2194749199999997</v>
      </c>
      <c r="N73" s="5">
        <v>-15.77711152</v>
      </c>
      <c r="O73" s="5">
        <v>8.25</v>
      </c>
      <c r="P73" s="5">
        <v>-22.5</v>
      </c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>
        <v>3.8830399999999998</v>
      </c>
      <c r="AJ73" s="5">
        <v>-8.9004399999999997</v>
      </c>
      <c r="AK73" s="5">
        <v>3.8830399999999998</v>
      </c>
      <c r="AL73" s="5">
        <v>-10.46532</v>
      </c>
    </row>
    <row r="74" spans="13:38" x14ac:dyDescent="0.2">
      <c r="M74" s="5">
        <v>8.2194749199999997</v>
      </c>
      <c r="N74" s="5">
        <v>-15.77711152</v>
      </c>
      <c r="O74" s="5">
        <v>8.25</v>
      </c>
      <c r="P74" s="5">
        <v>-22.5</v>
      </c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>
        <v>3.9236499999999999</v>
      </c>
      <c r="AJ74" s="5">
        <v>-8.9001800000000006</v>
      </c>
      <c r="AK74" s="5">
        <v>3.9236499999999999</v>
      </c>
      <c r="AL74" s="5">
        <v>-10.46546</v>
      </c>
    </row>
    <row r="75" spans="13:38" x14ac:dyDescent="0.2">
      <c r="M75" s="5">
        <v>8.2194749199999997</v>
      </c>
      <c r="N75" s="5">
        <v>-15.77711152</v>
      </c>
      <c r="O75" s="5">
        <v>8.25</v>
      </c>
      <c r="P75" s="5">
        <v>-22.5</v>
      </c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>
        <v>3.9642599999999999</v>
      </c>
      <c r="AJ75" s="5">
        <v>-8.8995599999999992</v>
      </c>
      <c r="AK75" s="5">
        <v>3.9642599999999999</v>
      </c>
      <c r="AL75" s="5">
        <v>-10.46565</v>
      </c>
    </row>
    <row r="76" spans="13:38" x14ac:dyDescent="0.2">
      <c r="M76" s="5">
        <v>8.2194749199999997</v>
      </c>
      <c r="N76" s="5">
        <v>-15.77711152</v>
      </c>
      <c r="O76" s="5">
        <v>8.25</v>
      </c>
      <c r="P76" s="5">
        <v>-22.5</v>
      </c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>
        <v>4.0048599999999999</v>
      </c>
      <c r="AJ76" s="5">
        <v>-8.8986000000000001</v>
      </c>
      <c r="AK76" s="5">
        <v>4.0048599999999999</v>
      </c>
      <c r="AL76" s="5">
        <v>-10.46588</v>
      </c>
    </row>
    <row r="77" spans="13:38" x14ac:dyDescent="0.2">
      <c r="M77" s="5">
        <v>8.2194749199999997</v>
      </c>
      <c r="N77" s="5">
        <v>-15.77711152</v>
      </c>
      <c r="O77" s="5">
        <v>8.25</v>
      </c>
      <c r="P77" s="5">
        <v>-22.5</v>
      </c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>
        <v>4.0454699999999999</v>
      </c>
      <c r="AJ77" s="5">
        <v>-8.8977500000000003</v>
      </c>
      <c r="AK77" s="5">
        <v>4.0454699999999999</v>
      </c>
      <c r="AL77" s="5">
        <v>-10.466189999999999</v>
      </c>
    </row>
    <row r="78" spans="13:38" x14ac:dyDescent="0.2">
      <c r="M78" s="5">
        <v>8.2194749199999997</v>
      </c>
      <c r="N78" s="5">
        <v>-15.77711152</v>
      </c>
      <c r="O78" s="5">
        <v>8.25</v>
      </c>
      <c r="P78" s="5">
        <v>-22.5</v>
      </c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>
        <v>4.0860799999999999</v>
      </c>
      <c r="AJ78" s="5">
        <v>-8.8975500000000007</v>
      </c>
      <c r="AK78" s="5">
        <v>4.0860799999999999</v>
      </c>
      <c r="AL78" s="5">
        <v>-10.466570000000001</v>
      </c>
    </row>
    <row r="79" spans="13:38" x14ac:dyDescent="0.2">
      <c r="M79" s="5">
        <v>8.2194749199999997</v>
      </c>
      <c r="N79" s="5">
        <v>-15.77711152</v>
      </c>
      <c r="O79" s="5">
        <v>8.25</v>
      </c>
      <c r="P79" s="5">
        <v>-22.5</v>
      </c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>
        <v>4.1266800000000003</v>
      </c>
      <c r="AJ79" s="5">
        <v>-8.8985400000000006</v>
      </c>
      <c r="AK79" s="5">
        <v>4.1266800000000003</v>
      </c>
      <c r="AL79" s="5">
        <v>-10.467029999999999</v>
      </c>
    </row>
    <row r="80" spans="13:38" x14ac:dyDescent="0.2">
      <c r="M80" s="5">
        <v>8.2194749199999997</v>
      </c>
      <c r="N80" s="5">
        <v>-15.77711152</v>
      </c>
      <c r="O80" s="5">
        <v>8.25</v>
      </c>
      <c r="P80" s="5">
        <v>-22.5</v>
      </c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>
        <v>4.1672900000000004</v>
      </c>
      <c r="AJ80" s="5">
        <v>-8.9012499999999992</v>
      </c>
      <c r="AK80" s="5">
        <v>4.1672900000000004</v>
      </c>
      <c r="AL80" s="5">
        <v>-10.467599999999999</v>
      </c>
    </row>
    <row r="81" spans="13:38" x14ac:dyDescent="0.2">
      <c r="M81" s="5">
        <v>8.2194749199999997</v>
      </c>
      <c r="N81" s="5">
        <v>-15.77711152</v>
      </c>
      <c r="O81" s="5">
        <v>8.25</v>
      </c>
      <c r="P81" s="5">
        <v>-22.5</v>
      </c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>
        <v>4.2078899999999999</v>
      </c>
      <c r="AJ81" s="5">
        <v>-8.9055599999999995</v>
      </c>
      <c r="AK81" s="5">
        <v>4.2078899999999999</v>
      </c>
      <c r="AL81" s="5">
        <v>-10.46827</v>
      </c>
    </row>
    <row r="82" spans="13:38" x14ac:dyDescent="0.2">
      <c r="M82" s="5">
        <v>8.2194749199999997</v>
      </c>
      <c r="N82" s="5">
        <v>-15.77711152</v>
      </c>
      <c r="O82" s="5">
        <v>8.25</v>
      </c>
      <c r="P82" s="5">
        <v>-22.5</v>
      </c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>
        <v>4.2484999999999999</v>
      </c>
      <c r="AJ82" s="5">
        <v>-8.9094700000000007</v>
      </c>
      <c r="AK82" s="5">
        <v>4.2484999999999999</v>
      </c>
      <c r="AL82" s="5">
        <v>-10.46907</v>
      </c>
    </row>
    <row r="83" spans="13:38" x14ac:dyDescent="0.2">
      <c r="M83" s="5">
        <v>8.2194749199999997</v>
      </c>
      <c r="N83" s="5">
        <v>-15.77711152</v>
      </c>
      <c r="O83" s="5">
        <v>8.25</v>
      </c>
      <c r="P83" s="5">
        <v>-22.5</v>
      </c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>
        <v>4.28911</v>
      </c>
      <c r="AJ83" s="5">
        <v>-8.9107099999999999</v>
      </c>
      <c r="AK83" s="5">
        <v>4.28911</v>
      </c>
      <c r="AL83" s="5">
        <v>-10.47</v>
      </c>
    </row>
    <row r="84" spans="13:38" x14ac:dyDescent="0.2">
      <c r="M84" s="5">
        <v>8.2194749199999997</v>
      </c>
      <c r="N84" s="5">
        <v>-15.77711152</v>
      </c>
      <c r="O84" s="5">
        <v>8.25</v>
      </c>
      <c r="P84" s="5">
        <v>-22.5</v>
      </c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>
        <v>4.3297100000000004</v>
      </c>
      <c r="AJ84" s="5">
        <v>-8.907</v>
      </c>
      <c r="AK84" s="5">
        <v>4.3297100000000004</v>
      </c>
      <c r="AL84" s="5">
        <v>-10.471069999999999</v>
      </c>
    </row>
    <row r="85" spans="13:38" x14ac:dyDescent="0.2">
      <c r="M85" s="5">
        <v>8.2194749199999997</v>
      </c>
      <c r="N85" s="5">
        <v>-15.77711152</v>
      </c>
      <c r="O85" s="5">
        <v>8.25</v>
      </c>
      <c r="P85" s="5">
        <v>-22.5</v>
      </c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>
        <v>4.3703200000000004</v>
      </c>
      <c r="AJ85" s="5">
        <v>-8.8960699999999999</v>
      </c>
      <c r="AK85" s="5">
        <v>4.3703200000000004</v>
      </c>
      <c r="AL85" s="5">
        <v>-10.47226</v>
      </c>
    </row>
    <row r="86" spans="13:38" x14ac:dyDescent="0.2">
      <c r="M86" s="5">
        <v>8.2194749199999997</v>
      </c>
      <c r="N86" s="5">
        <v>-15.77711152</v>
      </c>
      <c r="O86" s="5">
        <v>8.25</v>
      </c>
      <c r="P86" s="5">
        <v>-22.5</v>
      </c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>
        <v>4.41092</v>
      </c>
      <c r="AJ86" s="5">
        <v>-8.8788800000000005</v>
      </c>
      <c r="AK86" s="5">
        <v>4.41092</v>
      </c>
      <c r="AL86" s="5">
        <v>-10.473420000000001</v>
      </c>
    </row>
    <row r="87" spans="13:38" x14ac:dyDescent="0.2">
      <c r="M87" s="5">
        <v>8.2194749199999997</v>
      </c>
      <c r="N87" s="5">
        <v>-15.77711152</v>
      </c>
      <c r="O87" s="5">
        <v>8.25</v>
      </c>
      <c r="P87" s="5">
        <v>-22.5</v>
      </c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>
        <v>4.45153</v>
      </c>
      <c r="AJ87" s="5">
        <v>-8.8634000000000004</v>
      </c>
      <c r="AK87" s="5">
        <v>4.45153</v>
      </c>
      <c r="AL87" s="5">
        <v>-10.474410000000001</v>
      </c>
    </row>
    <row r="88" spans="13:38" x14ac:dyDescent="0.2">
      <c r="M88" s="5">
        <v>8.2194749199999997</v>
      </c>
      <c r="N88" s="5">
        <v>-15.77711152</v>
      </c>
      <c r="O88" s="5">
        <v>8.25</v>
      </c>
      <c r="P88" s="5">
        <v>-22.5</v>
      </c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>
        <v>4.49214</v>
      </c>
      <c r="AJ88" s="5">
        <v>-8.8584999999999994</v>
      </c>
      <c r="AK88" s="5">
        <v>4.49214</v>
      </c>
      <c r="AL88" s="5">
        <v>-10.47508</v>
      </c>
    </row>
    <row r="89" spans="13:38" x14ac:dyDescent="0.2">
      <c r="M89" s="5">
        <v>8.2194749199999997</v>
      </c>
      <c r="N89" s="5">
        <v>-15.77711152</v>
      </c>
      <c r="O89" s="5">
        <v>8.25</v>
      </c>
      <c r="P89" s="5">
        <v>-22.5</v>
      </c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>
        <v>4.5327400000000004</v>
      </c>
      <c r="AJ89" s="5">
        <v>-8.8730899999999995</v>
      </c>
      <c r="AK89" s="5">
        <v>4.5327400000000004</v>
      </c>
      <c r="AL89" s="5">
        <v>-10.47527</v>
      </c>
    </row>
    <row r="90" spans="13:38" x14ac:dyDescent="0.2">
      <c r="M90" s="5">
        <v>8.2194749199999997</v>
      </c>
      <c r="N90" s="5">
        <v>-15.77711152</v>
      </c>
      <c r="O90" s="5">
        <v>8.25</v>
      </c>
      <c r="P90" s="5">
        <v>-22.5</v>
      </c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>
        <v>4.5733499999999996</v>
      </c>
      <c r="AJ90" s="5">
        <v>-8.91601</v>
      </c>
      <c r="AK90" s="5">
        <v>4.5733499999999996</v>
      </c>
      <c r="AL90" s="5">
        <v>-10.474830000000001</v>
      </c>
    </row>
    <row r="91" spans="13:38" x14ac:dyDescent="0.2">
      <c r="M91" s="5">
        <v>8.2194749199999997</v>
      </c>
      <c r="N91" s="5">
        <v>-15.77711152</v>
      </c>
      <c r="O91" s="5">
        <v>8.25</v>
      </c>
      <c r="P91" s="5">
        <v>-22.5</v>
      </c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>
        <v>4.61395</v>
      </c>
      <c r="AJ91" s="5">
        <v>-8.9930000000000003</v>
      </c>
      <c r="AK91" s="5">
        <v>4.61395</v>
      </c>
      <c r="AL91" s="5">
        <v>-10.47363</v>
      </c>
    </row>
    <row r="92" spans="13:38" x14ac:dyDescent="0.2">
      <c r="M92" s="5">
        <v>8.2194749199999997</v>
      </c>
      <c r="N92" s="5">
        <v>-15.77711152</v>
      </c>
      <c r="O92" s="5">
        <v>8.25</v>
      </c>
      <c r="P92" s="5">
        <v>-22.5</v>
      </c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>
        <v>4.65456</v>
      </c>
      <c r="AJ92" s="5">
        <v>-9.1042100000000001</v>
      </c>
      <c r="AK92" s="5">
        <v>4.65456</v>
      </c>
      <c r="AL92" s="5">
        <v>-10.471489999999999</v>
      </c>
    </row>
    <row r="93" spans="13:38" x14ac:dyDescent="0.2">
      <c r="M93" s="5">
        <v>8.2194749199999997</v>
      </c>
      <c r="N93" s="5">
        <v>-15.77711152</v>
      </c>
      <c r="O93" s="5">
        <v>8.25</v>
      </c>
      <c r="P93" s="5">
        <v>-22.5</v>
      </c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>
        <v>4.6951700000000001</v>
      </c>
      <c r="AJ93" s="5">
        <v>-9.2492699999999992</v>
      </c>
      <c r="AK93" s="5">
        <v>4.6951700000000001</v>
      </c>
      <c r="AL93" s="5">
        <v>-10.468540000000001</v>
      </c>
    </row>
    <row r="94" spans="13:38" x14ac:dyDescent="0.2">
      <c r="M94" s="5">
        <v>8.2194749199999997</v>
      </c>
      <c r="N94" s="5">
        <v>-15.77711152</v>
      </c>
      <c r="O94" s="5">
        <v>8.25</v>
      </c>
      <c r="P94" s="5">
        <v>-22.5</v>
      </c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>
        <v>4.7357699999999996</v>
      </c>
      <c r="AJ94" s="5">
        <v>-9.4277599999999993</v>
      </c>
      <c r="AK94" s="5">
        <v>4.7357699999999996</v>
      </c>
      <c r="AL94" s="5">
        <v>-10.46571</v>
      </c>
    </row>
    <row r="95" spans="13:38" x14ac:dyDescent="0.2">
      <c r="M95" s="5">
        <v>8.2194749199999997</v>
      </c>
      <c r="N95" s="5">
        <v>-15.77711152</v>
      </c>
      <c r="O95" s="5">
        <v>8.25</v>
      </c>
      <c r="P95" s="5">
        <v>-22.5</v>
      </c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>
        <v>4.7763799999999996</v>
      </c>
      <c r="AJ95" s="5">
        <v>-9.6392399999999991</v>
      </c>
      <c r="AK95" s="5">
        <v>4.7763799999999996</v>
      </c>
      <c r="AL95" s="5">
        <v>-10.464119999999999</v>
      </c>
    </row>
    <row r="96" spans="13:38" x14ac:dyDescent="0.2">
      <c r="M96" s="5">
        <v>8.2194749199999997</v>
      </c>
      <c r="N96" s="5">
        <v>-15.77711152</v>
      </c>
      <c r="O96" s="5">
        <v>8.25</v>
      </c>
      <c r="P96" s="5">
        <v>-22.5</v>
      </c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>
        <v>4.81698</v>
      </c>
      <c r="AJ96" s="5">
        <v>-9.8799200000000003</v>
      </c>
      <c r="AK96" s="5">
        <v>4.81698</v>
      </c>
      <c r="AL96" s="5">
        <v>-10.464869999999999</v>
      </c>
    </row>
    <row r="97" spans="13:38" x14ac:dyDescent="0.2">
      <c r="M97" s="5">
        <v>8.2194749199999997</v>
      </c>
      <c r="N97" s="5">
        <v>-15.77711152</v>
      </c>
      <c r="O97" s="5">
        <v>8.25</v>
      </c>
      <c r="P97" s="5">
        <v>-22.5</v>
      </c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>
        <v>4.8575900000000001</v>
      </c>
      <c r="AJ97" s="5">
        <v>-10.141260000000001</v>
      </c>
      <c r="AK97" s="5">
        <v>4.8575900000000001</v>
      </c>
      <c r="AL97" s="5">
        <v>-10.46908</v>
      </c>
    </row>
    <row r="98" spans="13:38" x14ac:dyDescent="0.2">
      <c r="M98" s="5">
        <v>8.2194749199999997</v>
      </c>
      <c r="N98" s="5">
        <v>-15.77711152</v>
      </c>
      <c r="O98" s="5">
        <v>8.25</v>
      </c>
      <c r="P98" s="5">
        <v>-22.5</v>
      </c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>
        <v>4.8982000000000001</v>
      </c>
      <c r="AJ98" s="5">
        <v>-10.414300000000001</v>
      </c>
      <c r="AK98" s="5">
        <v>4.8982000000000001</v>
      </c>
      <c r="AL98" s="5">
        <v>-10.47777</v>
      </c>
    </row>
    <row r="99" spans="13:38" x14ac:dyDescent="0.2">
      <c r="M99" s="5">
        <v>8.2194749199999997</v>
      </c>
      <c r="N99" s="5">
        <v>-15.77711152</v>
      </c>
      <c r="O99" s="5">
        <v>8.25</v>
      </c>
      <c r="P99" s="5">
        <v>-22.5</v>
      </c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>
        <v>4.9387999999999996</v>
      </c>
      <c r="AJ99" s="5">
        <v>-10.690110000000001</v>
      </c>
      <c r="AK99" s="5">
        <v>4.9387999999999996</v>
      </c>
      <c r="AL99" s="5">
        <v>-10.490959999999999</v>
      </c>
    </row>
    <row r="100" spans="13:38" x14ac:dyDescent="0.2">
      <c r="M100" s="5">
        <v>8.2194749199999997</v>
      </c>
      <c r="N100" s="5">
        <v>-15.77711152</v>
      </c>
      <c r="O100" s="5">
        <v>8.25</v>
      </c>
      <c r="P100" s="5">
        <v>-22.5</v>
      </c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>
        <v>4.9794099999999997</v>
      </c>
      <c r="AJ100" s="5">
        <v>-10.959849999999999</v>
      </c>
      <c r="AK100" s="5">
        <v>4.9794099999999997</v>
      </c>
      <c r="AL100" s="5">
        <v>-10.50797</v>
      </c>
    </row>
    <row r="101" spans="13:38" x14ac:dyDescent="0.2">
      <c r="M101" s="5">
        <v>8.2194749199999997</v>
      </c>
      <c r="N101" s="5">
        <v>-15.77711152</v>
      </c>
      <c r="O101" s="5">
        <v>8.25</v>
      </c>
      <c r="P101" s="5">
        <v>-22.5</v>
      </c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>
        <v>5.0200100000000001</v>
      </c>
      <c r="AJ101" s="5">
        <v>-11.2186</v>
      </c>
      <c r="AK101" s="5">
        <v>5.0200100000000001</v>
      </c>
      <c r="AL101" s="5">
        <v>-10.528090000000001</v>
      </c>
    </row>
    <row r="102" spans="13:38" x14ac:dyDescent="0.2">
      <c r="M102" s="5">
        <v>8.2194749199999997</v>
      </c>
      <c r="N102" s="5">
        <v>-15.77711152</v>
      </c>
      <c r="O102" s="5">
        <v>8.25</v>
      </c>
      <c r="P102" s="5">
        <v>-22.5</v>
      </c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>
        <v>5.0606200000000001</v>
      </c>
      <c r="AJ102" s="5">
        <v>-11.46607</v>
      </c>
      <c r="AK102" s="5">
        <v>5.0606200000000001</v>
      </c>
      <c r="AL102" s="5">
        <v>-10.550649999999999</v>
      </c>
    </row>
    <row r="103" spans="13:38" x14ac:dyDescent="0.2">
      <c r="M103" s="5">
        <v>8.2194749199999997</v>
      </c>
      <c r="N103" s="5">
        <v>-15.77711152</v>
      </c>
      <c r="O103" s="5">
        <v>8.25</v>
      </c>
      <c r="P103" s="5">
        <v>-22.5</v>
      </c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>
        <v>5.1012300000000002</v>
      </c>
      <c r="AJ103" s="5">
        <v>-11.70224</v>
      </c>
      <c r="AK103" s="5">
        <v>5.1012300000000002</v>
      </c>
      <c r="AL103" s="5">
        <v>-10.57493</v>
      </c>
    </row>
    <row r="104" spans="13:38" x14ac:dyDescent="0.2">
      <c r="M104" s="5">
        <v>8.2194749199999997</v>
      </c>
      <c r="N104" s="5">
        <v>-15.77711152</v>
      </c>
      <c r="O104" s="5">
        <v>8.25</v>
      </c>
      <c r="P104" s="5">
        <v>-22.5</v>
      </c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>
        <v>5.1418299999999997</v>
      </c>
      <c r="AJ104" s="5">
        <v>-11.92709</v>
      </c>
      <c r="AK104" s="5">
        <v>5.1418299999999997</v>
      </c>
      <c r="AL104" s="5">
        <v>-10.600250000000001</v>
      </c>
    </row>
    <row r="105" spans="13:38" x14ac:dyDescent="0.2">
      <c r="M105" s="5">
        <v>8.2194749199999997</v>
      </c>
      <c r="N105" s="5">
        <v>-15.77711152</v>
      </c>
      <c r="O105" s="5">
        <v>8.25</v>
      </c>
      <c r="P105" s="5">
        <v>-22.5</v>
      </c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>
        <v>5.1824399999999997</v>
      </c>
      <c r="AJ105" s="5">
        <v>-12.14052</v>
      </c>
      <c r="AK105" s="5">
        <v>5.1824399999999997</v>
      </c>
      <c r="AL105" s="5">
        <v>-10.625920000000001</v>
      </c>
    </row>
    <row r="106" spans="13:38" x14ac:dyDescent="0.2">
      <c r="M106" s="5">
        <v>8.2194749199999997</v>
      </c>
      <c r="N106" s="5">
        <v>-15.77711152</v>
      </c>
      <c r="O106" s="5">
        <v>8.25</v>
      </c>
      <c r="P106" s="5">
        <v>-22.5</v>
      </c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>
        <v>5.2230400000000001</v>
      </c>
      <c r="AJ106" s="5">
        <v>-12.34024</v>
      </c>
      <c r="AK106" s="5">
        <v>5.2230400000000001</v>
      </c>
      <c r="AL106" s="5">
        <v>-10.65128</v>
      </c>
    </row>
    <row r="107" spans="13:38" x14ac:dyDescent="0.2">
      <c r="M107" s="5">
        <v>8.2194749199999997</v>
      </c>
      <c r="N107" s="5">
        <v>-15.77711152</v>
      </c>
      <c r="O107" s="5">
        <v>8.25</v>
      </c>
      <c r="P107" s="5">
        <v>-22.5</v>
      </c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>
        <v>5.2636500000000002</v>
      </c>
      <c r="AJ107" s="5">
        <v>-12.521890000000001</v>
      </c>
      <c r="AK107" s="5">
        <v>5.2636500000000002</v>
      </c>
      <c r="AL107" s="5">
        <v>-10.676640000000001</v>
      </c>
    </row>
    <row r="108" spans="13:38" x14ac:dyDescent="0.2">
      <c r="M108" s="5">
        <v>8.2194749199999997</v>
      </c>
      <c r="N108" s="5">
        <v>-15.77711152</v>
      </c>
      <c r="O108" s="5">
        <v>8.25</v>
      </c>
      <c r="P108" s="5">
        <v>-22.5</v>
      </c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>
        <v>5.3042600000000002</v>
      </c>
      <c r="AJ108" s="5">
        <v>-12.68098</v>
      </c>
      <c r="AK108" s="5">
        <v>5.3042600000000002</v>
      </c>
      <c r="AL108" s="5">
        <v>-10.70321</v>
      </c>
    </row>
    <row r="109" spans="13:38" x14ac:dyDescent="0.2">
      <c r="M109" s="5">
        <v>8.2194749199999997</v>
      </c>
      <c r="N109" s="5">
        <v>-15.77711152</v>
      </c>
      <c r="O109" s="5">
        <v>8.25</v>
      </c>
      <c r="P109" s="5">
        <v>-22.5</v>
      </c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>
        <v>5.3448599999999997</v>
      </c>
      <c r="AJ109" s="5">
        <v>-12.81305</v>
      </c>
      <c r="AK109" s="5">
        <v>5.3448599999999997</v>
      </c>
      <c r="AL109" s="5">
        <v>-10.732229999999999</v>
      </c>
    </row>
    <row r="110" spans="13:38" x14ac:dyDescent="0.2">
      <c r="M110" s="5">
        <v>8.2194749199999997</v>
      </c>
      <c r="N110" s="5">
        <v>-15.77711152</v>
      </c>
      <c r="O110" s="5">
        <v>8.25</v>
      </c>
      <c r="P110" s="5">
        <v>-22.5</v>
      </c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>
        <v>5.3854699999999998</v>
      </c>
      <c r="AJ110" s="5">
        <v>-12.914059999999999</v>
      </c>
      <c r="AK110" s="5">
        <v>5.3854699999999998</v>
      </c>
      <c r="AL110" s="5">
        <v>-10.764939999999999</v>
      </c>
    </row>
    <row r="111" spans="13:38" x14ac:dyDescent="0.2">
      <c r="M111" s="5">
        <v>8.2194749199999997</v>
      </c>
      <c r="N111" s="5">
        <v>-15.77711152</v>
      </c>
      <c r="O111" s="5">
        <v>8.25</v>
      </c>
      <c r="P111" s="5">
        <v>-22.5</v>
      </c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>
        <v>5.4260700000000002</v>
      </c>
      <c r="AJ111" s="5">
        <v>-12.986840000000001</v>
      </c>
      <c r="AK111" s="5">
        <v>5.4260700000000002</v>
      </c>
      <c r="AL111" s="5">
        <v>-10.802580000000001</v>
      </c>
    </row>
    <row r="112" spans="13:38" x14ac:dyDescent="0.2">
      <c r="M112" s="5">
        <v>8.2194749199999997</v>
      </c>
      <c r="N112" s="5">
        <v>-15.77711152</v>
      </c>
      <c r="O112" s="5">
        <v>8.25</v>
      </c>
      <c r="P112" s="5">
        <v>-22.5</v>
      </c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>
        <v>5.4666800000000002</v>
      </c>
      <c r="AJ112" s="5">
        <v>-13.039820000000001</v>
      </c>
      <c r="AK112" s="5">
        <v>5.4666800000000002</v>
      </c>
      <c r="AL112" s="5">
        <v>-10.846349999999999</v>
      </c>
    </row>
    <row r="113" spans="13:38" x14ac:dyDescent="0.2">
      <c r="M113" s="5">
        <v>8.2194749199999997</v>
      </c>
      <c r="N113" s="5">
        <v>-15.77711152</v>
      </c>
      <c r="O113" s="5">
        <v>8.25</v>
      </c>
      <c r="P113" s="5">
        <v>-22.5</v>
      </c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>
        <v>5.5072900000000002</v>
      </c>
      <c r="AJ113" s="5">
        <v>-13.081580000000001</v>
      </c>
      <c r="AK113" s="5">
        <v>5.5072900000000002</v>
      </c>
      <c r="AL113" s="5">
        <v>-10.89724</v>
      </c>
    </row>
    <row r="114" spans="13:38" x14ac:dyDescent="0.2">
      <c r="M114" s="5">
        <v>8.2194749199999997</v>
      </c>
      <c r="N114" s="5">
        <v>-15.77711152</v>
      </c>
      <c r="O114" s="5">
        <v>8.25</v>
      </c>
      <c r="P114" s="5">
        <v>-22.5</v>
      </c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>
        <v>5.5478899999999998</v>
      </c>
      <c r="AJ114" s="5">
        <v>-13.12068</v>
      </c>
      <c r="AK114" s="5">
        <v>5.5478899999999998</v>
      </c>
      <c r="AL114" s="5">
        <v>-10.956250000000001</v>
      </c>
    </row>
    <row r="115" spans="13:38" x14ac:dyDescent="0.2">
      <c r="M115" s="5">
        <v>8.2194749199999997</v>
      </c>
      <c r="N115" s="5">
        <v>-15.77711152</v>
      </c>
      <c r="O115" s="5">
        <v>8.25</v>
      </c>
      <c r="P115" s="5">
        <v>-22.5</v>
      </c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>
        <v>5.5884999999999998</v>
      </c>
      <c r="AJ115" s="5">
        <v>-13.16521</v>
      </c>
      <c r="AK115" s="5">
        <v>5.5884999999999998</v>
      </c>
      <c r="AL115" s="5">
        <v>-11.02436</v>
      </c>
    </row>
    <row r="116" spans="13:38" x14ac:dyDescent="0.2">
      <c r="M116" s="5">
        <v>8.2194749199999997</v>
      </c>
      <c r="N116" s="5">
        <v>-15.77711152</v>
      </c>
      <c r="O116" s="5">
        <v>8.25</v>
      </c>
      <c r="P116" s="5">
        <v>-22.5</v>
      </c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>
        <v>5.6291000000000002</v>
      </c>
      <c r="AJ116" s="5">
        <v>-13.21744</v>
      </c>
      <c r="AK116" s="5">
        <v>5.6291000000000002</v>
      </c>
      <c r="AL116" s="5">
        <v>-11.102539999999999</v>
      </c>
    </row>
    <row r="117" spans="13:38" x14ac:dyDescent="0.2">
      <c r="M117" s="5">
        <v>8.2194749199999997</v>
      </c>
      <c r="N117" s="5">
        <v>-15.77711152</v>
      </c>
      <c r="O117" s="5">
        <v>8.25</v>
      </c>
      <c r="P117" s="5">
        <v>-22.5</v>
      </c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>
        <v>5.6697100000000002</v>
      </c>
      <c r="AJ117" s="5">
        <v>-13.27572</v>
      </c>
      <c r="AK117" s="5">
        <v>5.6697100000000002</v>
      </c>
      <c r="AL117" s="5">
        <v>-11.191599999999999</v>
      </c>
    </row>
    <row r="118" spans="13:38" x14ac:dyDescent="0.2">
      <c r="M118" s="5">
        <v>8.2194749199999997</v>
      </c>
      <c r="N118" s="5">
        <v>-15.77711152</v>
      </c>
      <c r="O118" s="5">
        <v>8.25</v>
      </c>
      <c r="P118" s="5">
        <v>-22.5</v>
      </c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>
        <v>5.7103200000000003</v>
      </c>
      <c r="AJ118" s="5">
        <v>-13.33836</v>
      </c>
      <c r="AK118" s="5">
        <v>5.7103200000000003</v>
      </c>
      <c r="AL118" s="5">
        <v>-11.290279999999999</v>
      </c>
    </row>
    <row r="119" spans="13:38" x14ac:dyDescent="0.2">
      <c r="M119" s="5">
        <v>8.2194749199999997</v>
      </c>
      <c r="N119" s="5">
        <v>-15.77711152</v>
      </c>
      <c r="O119" s="5">
        <v>8.25</v>
      </c>
      <c r="P119" s="5">
        <v>-22.5</v>
      </c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>
        <v>5.7509199999999998</v>
      </c>
      <c r="AJ119" s="5">
        <v>-13.40367</v>
      </c>
      <c r="AK119" s="5">
        <v>5.7509199999999998</v>
      </c>
      <c r="AL119" s="5">
        <v>-11.396089999999999</v>
      </c>
    </row>
    <row r="120" spans="13:38" x14ac:dyDescent="0.2">
      <c r="M120" s="5">
        <v>8.2194749199999997</v>
      </c>
      <c r="N120" s="5">
        <v>-15.77711152</v>
      </c>
      <c r="O120" s="5">
        <v>8.25</v>
      </c>
      <c r="P120" s="5">
        <v>-22.5</v>
      </c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>
        <v>5.7915299999999998</v>
      </c>
      <c r="AJ120" s="5">
        <v>-13.470050000000001</v>
      </c>
      <c r="AK120" s="5">
        <v>5.7915299999999998</v>
      </c>
      <c r="AL120" s="5">
        <v>-11.506489999999999</v>
      </c>
    </row>
    <row r="121" spans="13:38" x14ac:dyDescent="0.2">
      <c r="M121" s="5">
        <v>8.2194749199999997</v>
      </c>
      <c r="N121" s="5">
        <v>-15.77711152</v>
      </c>
      <c r="O121" s="5">
        <v>8.25</v>
      </c>
      <c r="P121" s="5">
        <v>-22.5</v>
      </c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>
        <v>5.8321300000000003</v>
      </c>
      <c r="AJ121" s="5">
        <v>-13.536949999999999</v>
      </c>
      <c r="AK121" s="5">
        <v>5.8321300000000003</v>
      </c>
      <c r="AL121" s="5">
        <v>-11.61896</v>
      </c>
    </row>
    <row r="122" spans="13:38" x14ac:dyDescent="0.2">
      <c r="M122" s="5">
        <v>8.2194749199999997</v>
      </c>
      <c r="N122" s="5">
        <v>-15.77711152</v>
      </c>
      <c r="O122" s="5">
        <v>8.25</v>
      </c>
      <c r="P122" s="5">
        <v>-22.5</v>
      </c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>
        <v>5.8727400000000003</v>
      </c>
      <c r="AJ122" s="5">
        <v>-13.60435</v>
      </c>
      <c r="AK122" s="5">
        <v>5.8727400000000003</v>
      </c>
      <c r="AL122" s="5">
        <v>-11.73099</v>
      </c>
    </row>
    <row r="123" spans="13:38" x14ac:dyDescent="0.2">
      <c r="M123" s="5">
        <v>8.2194749199999997</v>
      </c>
      <c r="N123" s="5">
        <v>-15.77711152</v>
      </c>
      <c r="O123" s="5">
        <v>8.25</v>
      </c>
      <c r="P123" s="5">
        <v>-22.5</v>
      </c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>
        <v>5.9133500000000003</v>
      </c>
      <c r="AJ123" s="5">
        <v>-13.672230000000001</v>
      </c>
      <c r="AK123" s="5">
        <v>5.9133500000000003</v>
      </c>
      <c r="AL123" s="5">
        <v>-11.840059999999999</v>
      </c>
    </row>
    <row r="124" spans="13:38" x14ac:dyDescent="0.2">
      <c r="M124" s="5">
        <v>8.2194749199999997</v>
      </c>
      <c r="N124" s="5">
        <v>-15.77711152</v>
      </c>
      <c r="O124" s="5">
        <v>8.25</v>
      </c>
      <c r="P124" s="5">
        <v>-22.5</v>
      </c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>
        <v>5.9539499999999999</v>
      </c>
      <c r="AJ124" s="5">
        <v>-13.740600000000001</v>
      </c>
      <c r="AK124" s="5">
        <v>5.9539499999999999</v>
      </c>
      <c r="AL124" s="5">
        <v>-11.94364</v>
      </c>
    </row>
    <row r="125" spans="13:38" x14ac:dyDescent="0.2">
      <c r="M125" s="5">
        <v>8.2194749199999997</v>
      </c>
      <c r="N125" s="5">
        <v>-15.77711152</v>
      </c>
      <c r="O125" s="5">
        <v>8.25</v>
      </c>
      <c r="P125" s="5">
        <v>-22.5</v>
      </c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>
        <v>5.9945599999999999</v>
      </c>
      <c r="AJ125" s="5">
        <v>-13.809380000000001</v>
      </c>
      <c r="AK125" s="5">
        <v>5.9945599999999999</v>
      </c>
      <c r="AL125" s="5">
        <v>-12.039350000000001</v>
      </c>
    </row>
    <row r="126" spans="13:38" x14ac:dyDescent="0.2">
      <c r="M126" s="5">
        <v>8.2194749199999997</v>
      </c>
      <c r="N126" s="5">
        <v>-15.77711152</v>
      </c>
      <c r="O126" s="5">
        <v>8.25</v>
      </c>
      <c r="P126" s="5">
        <v>-22.5</v>
      </c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>
        <v>6.0351600000000003</v>
      </c>
      <c r="AJ126" s="5">
        <v>-13.87824</v>
      </c>
      <c r="AK126" s="5">
        <v>6.0351600000000003</v>
      </c>
      <c r="AL126" s="5">
        <v>-12.127319999999999</v>
      </c>
    </row>
    <row r="127" spans="13:38" x14ac:dyDescent="0.2">
      <c r="M127" s="5">
        <v>8.2194749199999997</v>
      </c>
      <c r="N127" s="5">
        <v>-15.77711152</v>
      </c>
      <c r="O127" s="5">
        <v>8.25</v>
      </c>
      <c r="P127" s="5">
        <v>-22.5</v>
      </c>
      <c r="Q127" s="5"/>
      <c r="R127" s="5"/>
      <c r="S127" s="5"/>
      <c r="T127" s="5"/>
      <c r="U127" s="5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>
        <v>6.0757700000000003</v>
      </c>
      <c r="AJ127" s="5">
        <v>-13.94666</v>
      </c>
      <c r="AK127" s="5">
        <v>6.0757700000000003</v>
      </c>
      <c r="AL127" s="5">
        <v>-12.20978</v>
      </c>
    </row>
    <row r="128" spans="13:38" x14ac:dyDescent="0.2">
      <c r="M128" s="5">
        <v>8.2194749199999997</v>
      </c>
      <c r="N128" s="5">
        <v>-15.77711152</v>
      </c>
      <c r="O128" s="5">
        <v>8.25</v>
      </c>
      <c r="P128" s="5">
        <v>-22.5</v>
      </c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>
        <v>6.1163800000000004</v>
      </c>
      <c r="AJ128" s="5">
        <v>-14.01416</v>
      </c>
      <c r="AK128" s="5">
        <v>6.1163800000000004</v>
      </c>
      <c r="AL128" s="5">
        <v>-12.289070000000001</v>
      </c>
    </row>
    <row r="129" spans="13:38" x14ac:dyDescent="0.2">
      <c r="M129" s="5">
        <v>8.2194749199999997</v>
      </c>
      <c r="N129" s="5">
        <v>-15.77711152</v>
      </c>
      <c r="O129" s="5">
        <v>8.25</v>
      </c>
      <c r="P129" s="5">
        <v>-22.5</v>
      </c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>
        <v>6.1569799999999999</v>
      </c>
      <c r="AJ129" s="5">
        <v>-14.080220000000001</v>
      </c>
      <c r="AK129" s="5">
        <v>6.1569799999999999</v>
      </c>
      <c r="AL129" s="5">
        <v>-12.3675</v>
      </c>
    </row>
    <row r="130" spans="13:38" x14ac:dyDescent="0.2">
      <c r="M130" s="5">
        <v>8.2194749199999997</v>
      </c>
      <c r="N130" s="5">
        <v>-15.77711152</v>
      </c>
      <c r="O130" s="5">
        <v>8.25</v>
      </c>
      <c r="P130" s="5">
        <v>-22.5</v>
      </c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>
        <v>6.1975899999999999</v>
      </c>
      <c r="AJ130" s="5">
        <v>-14.14443</v>
      </c>
      <c r="AK130" s="5">
        <v>6.1975899999999999</v>
      </c>
      <c r="AL130" s="5">
        <v>-12.44741</v>
      </c>
    </row>
    <row r="131" spans="13:38" x14ac:dyDescent="0.2">
      <c r="M131" s="5">
        <v>8.2194749199999997</v>
      </c>
      <c r="N131" s="5">
        <v>-15.77711152</v>
      </c>
      <c r="O131" s="5">
        <v>8.25</v>
      </c>
      <c r="P131" s="5">
        <v>-22.5</v>
      </c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>
        <v>6.2381900000000003</v>
      </c>
      <c r="AJ131" s="5">
        <v>-14.20675</v>
      </c>
      <c r="AK131" s="5">
        <v>6.2381900000000003</v>
      </c>
      <c r="AL131" s="5">
        <v>-12.53111</v>
      </c>
    </row>
    <row r="132" spans="13:38" x14ac:dyDescent="0.2">
      <c r="M132" s="5">
        <v>8.2194749199999997</v>
      </c>
      <c r="N132" s="5">
        <v>-15.77711152</v>
      </c>
      <c r="O132" s="5">
        <v>8.25</v>
      </c>
      <c r="P132" s="5">
        <v>-22.5</v>
      </c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>
        <v>6.2788000000000004</v>
      </c>
      <c r="AJ132" s="5">
        <v>-14.26727</v>
      </c>
      <c r="AK132" s="5">
        <v>6.2788000000000004</v>
      </c>
      <c r="AL132" s="5">
        <v>-12.62092</v>
      </c>
    </row>
    <row r="133" spans="13:38" x14ac:dyDescent="0.2">
      <c r="M133" s="5">
        <v>8.2194749199999997</v>
      </c>
      <c r="N133" s="5">
        <v>-15.77711152</v>
      </c>
      <c r="O133" s="5">
        <v>8.25</v>
      </c>
      <c r="P133" s="5">
        <v>-22.5</v>
      </c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>
        <v>6.3194100000000004</v>
      </c>
      <c r="AJ133" s="5">
        <v>-14.326129999999999</v>
      </c>
      <c r="AK133" s="5">
        <v>6.3194100000000004</v>
      </c>
      <c r="AL133" s="5">
        <v>-12.71913</v>
      </c>
    </row>
    <row r="134" spans="13:38" x14ac:dyDescent="0.2">
      <c r="M134" s="5">
        <v>8.2194749199999997</v>
      </c>
      <c r="N134" s="5">
        <v>-15.77711152</v>
      </c>
      <c r="O134" s="5">
        <v>8.25</v>
      </c>
      <c r="P134" s="5">
        <v>-22.5</v>
      </c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>
        <v>6.3600099999999999</v>
      </c>
      <c r="AJ134" s="5">
        <v>-14.38341</v>
      </c>
      <c r="AK134" s="5">
        <v>6.3600099999999999</v>
      </c>
      <c r="AL134" s="5">
        <v>-12.826510000000001</v>
      </c>
    </row>
    <row r="135" spans="13:38" x14ac:dyDescent="0.2">
      <c r="M135" s="5">
        <v>8.2194749199999997</v>
      </c>
      <c r="N135" s="5">
        <v>-15.77711152</v>
      </c>
      <c r="O135" s="5">
        <v>8.25</v>
      </c>
      <c r="P135" s="5">
        <v>-22.5</v>
      </c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>
        <v>6.40062</v>
      </c>
      <c r="AJ135" s="5">
        <v>-14.439220000000001</v>
      </c>
      <c r="AK135" s="5">
        <v>6.40062</v>
      </c>
      <c r="AL135" s="5">
        <v>-12.942069999999999</v>
      </c>
    </row>
    <row r="136" spans="13:38" x14ac:dyDescent="0.2">
      <c r="M136" s="5">
        <v>8.2194749199999997</v>
      </c>
      <c r="N136" s="5">
        <v>-15.77711152</v>
      </c>
      <c r="O136" s="5">
        <v>8.25</v>
      </c>
      <c r="P136" s="5">
        <v>-22.5</v>
      </c>
      <c r="Q136" s="5"/>
      <c r="R136" s="5"/>
      <c r="S136" s="5"/>
      <c r="T136" s="5"/>
      <c r="U136" s="5"/>
      <c r="V136" s="5"/>
      <c r="W136" s="5"/>
      <c r="X136" s="5"/>
      <c r="Y136" s="5"/>
      <c r="Z136" s="5"/>
      <c r="AA136" s="5"/>
      <c r="AB136" s="5"/>
      <c r="AC136" s="5"/>
      <c r="AD136" s="5"/>
      <c r="AE136" s="5"/>
      <c r="AF136" s="5"/>
      <c r="AG136" s="5"/>
      <c r="AH136" s="5"/>
      <c r="AI136" s="5">
        <v>6.4412200000000004</v>
      </c>
      <c r="AJ136" s="5">
        <v>-14.493679999999999</v>
      </c>
      <c r="AK136" s="5">
        <v>6.4412200000000004</v>
      </c>
      <c r="AL136" s="5">
        <v>-13.06471</v>
      </c>
    </row>
    <row r="137" spans="13:38" x14ac:dyDescent="0.2">
      <c r="M137" s="5">
        <v>8.2194749199999997</v>
      </c>
      <c r="N137" s="5">
        <v>-15.77711152</v>
      </c>
      <c r="O137" s="5">
        <v>8.25</v>
      </c>
      <c r="P137" s="5">
        <v>-22.5</v>
      </c>
      <c r="Q137" s="5"/>
      <c r="R137" s="5"/>
      <c r="S137" s="5"/>
      <c r="T137" s="5"/>
      <c r="U137" s="5"/>
      <c r="V137" s="5"/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>
        <v>6.4818300000000004</v>
      </c>
      <c r="AJ137" s="5">
        <v>-14.54688</v>
      </c>
      <c r="AK137" s="5">
        <v>6.4818300000000004</v>
      </c>
      <c r="AL137" s="5">
        <v>-13.193339999999999</v>
      </c>
    </row>
    <row r="138" spans="13:38" x14ac:dyDescent="0.2">
      <c r="M138" s="5">
        <v>8.2194749199999997</v>
      </c>
      <c r="N138" s="5">
        <v>-15.77711152</v>
      </c>
      <c r="O138" s="5">
        <v>8.25</v>
      </c>
      <c r="P138" s="5">
        <v>-22.5</v>
      </c>
      <c r="Q138" s="5"/>
      <c r="R138" s="5"/>
      <c r="S138" s="5"/>
      <c r="T138" s="5"/>
      <c r="U138" s="5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>
        <v>6.5224399999999996</v>
      </c>
      <c r="AJ138" s="5">
        <v>-14.598940000000001</v>
      </c>
      <c r="AK138" s="5">
        <v>6.5224399999999996</v>
      </c>
      <c r="AL138" s="5">
        <v>-13.32685</v>
      </c>
    </row>
    <row r="139" spans="13:38" x14ac:dyDescent="0.2">
      <c r="M139" s="5">
        <v>8.2194749199999997</v>
      </c>
      <c r="N139" s="5">
        <v>-15.77711152</v>
      </c>
      <c r="O139" s="5">
        <v>8.25</v>
      </c>
      <c r="P139" s="5">
        <v>-22.5</v>
      </c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>
        <v>6.56304</v>
      </c>
      <c r="AJ139" s="5">
        <v>-14.64997</v>
      </c>
      <c r="AK139" s="5">
        <v>6.56304</v>
      </c>
      <c r="AL139" s="5">
        <v>-13.46414</v>
      </c>
    </row>
    <row r="140" spans="13:38" x14ac:dyDescent="0.2">
      <c r="M140" s="5">
        <v>8.2194749199999997</v>
      </c>
      <c r="N140" s="5">
        <v>-15.77711152</v>
      </c>
      <c r="O140" s="5">
        <v>8.25</v>
      </c>
      <c r="P140" s="5">
        <v>-22.5</v>
      </c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>
        <v>6.60365</v>
      </c>
      <c r="AJ140" s="5">
        <v>-14.700060000000001</v>
      </c>
      <c r="AK140" s="5">
        <v>6.60365</v>
      </c>
      <c r="AL140" s="5">
        <v>-13.60411</v>
      </c>
    </row>
    <row r="141" spans="13:38" x14ac:dyDescent="0.2">
      <c r="M141" s="5">
        <v>8.2194749199999997</v>
      </c>
      <c r="N141" s="5">
        <v>-15.77711152</v>
      </c>
      <c r="O141" s="5">
        <v>8.25</v>
      </c>
      <c r="P141" s="5">
        <v>-22.5</v>
      </c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>
        <v>6.6442500000000004</v>
      </c>
      <c r="AJ141" s="5">
        <v>-14.74933</v>
      </c>
      <c r="AK141" s="5">
        <v>6.6442500000000004</v>
      </c>
      <c r="AL141" s="5">
        <v>-13.745660000000001</v>
      </c>
    </row>
    <row r="142" spans="13:38" x14ac:dyDescent="0.2">
      <c r="M142" s="5">
        <v>8.2194749199999997</v>
      </c>
      <c r="N142" s="5">
        <v>-15.77711152</v>
      </c>
      <c r="O142" s="5">
        <v>8.25</v>
      </c>
      <c r="P142" s="5">
        <v>-22.5</v>
      </c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>
        <v>6.6848599999999996</v>
      </c>
      <c r="AJ142" s="5">
        <v>-14.797879999999999</v>
      </c>
      <c r="AK142" s="5">
        <v>6.6848599999999996</v>
      </c>
      <c r="AL142" s="5">
        <v>-13.88739</v>
      </c>
    </row>
    <row r="143" spans="13:38" x14ac:dyDescent="0.2">
      <c r="M143" s="5">
        <v>8.2194749199999997</v>
      </c>
      <c r="N143" s="5">
        <v>-15.77711152</v>
      </c>
      <c r="O143" s="5">
        <v>8.25</v>
      </c>
      <c r="P143" s="5">
        <v>-22.5</v>
      </c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>
        <v>6.7254699999999996</v>
      </c>
      <c r="AJ143" s="5">
        <v>-14.84582</v>
      </c>
      <c r="AK143" s="5">
        <v>6.7254699999999996</v>
      </c>
      <c r="AL143" s="5">
        <v>-14.02741</v>
      </c>
    </row>
    <row r="144" spans="13:38" x14ac:dyDescent="0.2">
      <c r="M144" s="5">
        <v>8.2194749199999997</v>
      </c>
      <c r="N144" s="5">
        <v>-15.77711152</v>
      </c>
      <c r="O144" s="5">
        <v>8.25</v>
      </c>
      <c r="P144" s="5">
        <v>-22.5</v>
      </c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>
        <v>6.76607</v>
      </c>
      <c r="AJ144" s="5">
        <v>-14.89326</v>
      </c>
      <c r="AK144" s="5">
        <v>6.76607</v>
      </c>
      <c r="AL144" s="5">
        <v>-14.16377</v>
      </c>
    </row>
    <row r="145" spans="13:38" x14ac:dyDescent="0.2">
      <c r="M145" s="5">
        <v>8.2194749199999997</v>
      </c>
      <c r="N145" s="5">
        <v>-15.77711152</v>
      </c>
      <c r="O145" s="5">
        <v>8.25</v>
      </c>
      <c r="P145" s="5">
        <v>-22.5</v>
      </c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>
        <v>6.8066800000000001</v>
      </c>
      <c r="AJ145" s="5">
        <v>-14.940300000000001</v>
      </c>
      <c r="AK145" s="5">
        <v>6.8066800000000001</v>
      </c>
      <c r="AL145" s="5">
        <v>-14.29452</v>
      </c>
    </row>
    <row r="146" spans="13:38" x14ac:dyDescent="0.2">
      <c r="M146" s="5">
        <v>8.2194749199999997</v>
      </c>
      <c r="N146" s="5">
        <v>-15.77711152</v>
      </c>
      <c r="O146" s="5">
        <v>8.25</v>
      </c>
      <c r="P146" s="5">
        <v>-22.5</v>
      </c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>
        <v>6.8472799999999996</v>
      </c>
      <c r="AJ146" s="5">
        <v>-14.98705</v>
      </c>
      <c r="AK146" s="5">
        <v>6.8472799999999996</v>
      </c>
      <c r="AL146" s="5">
        <v>-14.417730000000001</v>
      </c>
    </row>
    <row r="147" spans="13:38" x14ac:dyDescent="0.2">
      <c r="M147" s="5">
        <v>8.2194749199999997</v>
      </c>
      <c r="N147" s="5">
        <v>-15.77711152</v>
      </c>
      <c r="O147" s="5">
        <v>8.25</v>
      </c>
      <c r="P147" s="5">
        <v>-22.5</v>
      </c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>
        <v>6.8878899999999996</v>
      </c>
      <c r="AJ147" s="5">
        <v>-15.03363</v>
      </c>
      <c r="AK147" s="5">
        <v>6.8878899999999996</v>
      </c>
      <c r="AL147" s="5">
        <v>-14.531459999999999</v>
      </c>
    </row>
    <row r="148" spans="13:38" x14ac:dyDescent="0.2">
      <c r="M148" s="5">
        <v>8.2194749199999997</v>
      </c>
      <c r="N148" s="5">
        <v>-15.77711152</v>
      </c>
      <c r="O148" s="5">
        <v>8.25</v>
      </c>
      <c r="P148" s="5">
        <v>-22.5</v>
      </c>
      <c r="Q148" s="5"/>
      <c r="R148" s="5"/>
      <c r="S148" s="5"/>
      <c r="T148" s="5"/>
      <c r="U148" s="5"/>
      <c r="V148" s="5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>
        <v>6.9284999999999997</v>
      </c>
      <c r="AJ148" s="5">
        <v>-15.080120000000001</v>
      </c>
      <c r="AK148" s="5">
        <v>6.9284999999999997</v>
      </c>
      <c r="AL148" s="5">
        <v>-14.633749999999999</v>
      </c>
    </row>
    <row r="149" spans="13:38" x14ac:dyDescent="0.2">
      <c r="M149" s="5">
        <v>8.2194749199999997</v>
      </c>
      <c r="N149" s="5">
        <v>-15.77711152</v>
      </c>
      <c r="O149" s="5">
        <v>8.25</v>
      </c>
      <c r="P149" s="5">
        <v>-22.5</v>
      </c>
      <c r="Q149" s="5"/>
      <c r="R149" s="5"/>
      <c r="S149" s="5"/>
      <c r="T149" s="5"/>
      <c r="U149" s="5"/>
      <c r="V149" s="5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>
        <v>6.9691000000000001</v>
      </c>
      <c r="AJ149" s="5">
        <v>-15.12664</v>
      </c>
      <c r="AK149" s="5">
        <v>6.9691000000000001</v>
      </c>
      <c r="AL149" s="5">
        <v>-14.72268</v>
      </c>
    </row>
    <row r="150" spans="13:38" x14ac:dyDescent="0.2">
      <c r="M150" s="5">
        <v>8.2194749199999997</v>
      </c>
      <c r="N150" s="5">
        <v>-15.77711152</v>
      </c>
      <c r="O150" s="5">
        <v>8.25</v>
      </c>
      <c r="P150" s="5">
        <v>-22.5</v>
      </c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>
        <v>7.0097100000000001</v>
      </c>
      <c r="AJ150" s="5">
        <v>-15.173299999999999</v>
      </c>
      <c r="AK150" s="5">
        <v>7.0097100000000001</v>
      </c>
      <c r="AL150" s="5">
        <v>-14.79809</v>
      </c>
    </row>
    <row r="151" spans="13:38" x14ac:dyDescent="0.2">
      <c r="M151" s="5">
        <v>8.2194749199999997</v>
      </c>
      <c r="N151" s="5">
        <v>-15.77711152</v>
      </c>
      <c r="O151" s="5">
        <v>8.25</v>
      </c>
      <c r="P151" s="5">
        <v>-22.5</v>
      </c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>
        <v>7.0503099999999996</v>
      </c>
      <c r="AJ151" s="5">
        <v>-15.22021</v>
      </c>
      <c r="AK151" s="5">
        <v>7.0503099999999996</v>
      </c>
      <c r="AL151" s="5">
        <v>-14.864089999999999</v>
      </c>
    </row>
    <row r="152" spans="13:38" x14ac:dyDescent="0.2">
      <c r="M152" s="5">
        <v>8.2194749199999997</v>
      </c>
      <c r="N152" s="5">
        <v>-15.77711152</v>
      </c>
      <c r="O152" s="5">
        <v>8.25</v>
      </c>
      <c r="P152" s="5">
        <v>-22.5</v>
      </c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>
        <v>7.0909199999999997</v>
      </c>
      <c r="AJ152" s="5">
        <v>-15.267469999999999</v>
      </c>
      <c r="AK152" s="5">
        <v>7.0909199999999997</v>
      </c>
      <c r="AL152" s="5">
        <v>-14.925039999999999</v>
      </c>
    </row>
    <row r="153" spans="13:38" x14ac:dyDescent="0.2">
      <c r="M153" s="5">
        <v>8.2194749199999997</v>
      </c>
      <c r="N153" s="5">
        <v>-15.77711152</v>
      </c>
      <c r="O153" s="5">
        <v>8.25</v>
      </c>
      <c r="P153" s="5">
        <v>-22.5</v>
      </c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>
        <v>7.1315299999999997</v>
      </c>
      <c r="AJ153" s="5">
        <v>-15.31518</v>
      </c>
      <c r="AK153" s="5">
        <v>7.1315299999999997</v>
      </c>
      <c r="AL153" s="5">
        <v>-14.982620000000001</v>
      </c>
    </row>
    <row r="154" spans="13:38" x14ac:dyDescent="0.2">
      <c r="M154" s="5">
        <v>8.2194749199999997</v>
      </c>
      <c r="N154" s="5">
        <v>-15.77711152</v>
      </c>
      <c r="O154" s="5">
        <v>8.25</v>
      </c>
      <c r="P154" s="5">
        <v>-22.5</v>
      </c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>
        <v>7.1721300000000001</v>
      </c>
      <c r="AJ154" s="5">
        <v>-15.36346</v>
      </c>
      <c r="AK154" s="5">
        <v>7.1721300000000001</v>
      </c>
      <c r="AL154" s="5">
        <v>-15.03715</v>
      </c>
    </row>
    <row r="155" spans="13:38" x14ac:dyDescent="0.2">
      <c r="M155" s="5">
        <v>8.2194749199999997</v>
      </c>
      <c r="N155" s="5">
        <v>-15.77711152</v>
      </c>
      <c r="O155" s="5">
        <v>8.25</v>
      </c>
      <c r="P155" s="5">
        <v>-22.5</v>
      </c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>
        <v>7.2127400000000002</v>
      </c>
      <c r="AJ155" s="5">
        <v>-15.41234</v>
      </c>
      <c r="AK155" s="5">
        <v>7.2127400000000002</v>
      </c>
      <c r="AL155" s="5">
        <v>-15.088939999999999</v>
      </c>
    </row>
    <row r="156" spans="13:38" x14ac:dyDescent="0.2">
      <c r="M156" s="5">
        <v>8.2194749199999997</v>
      </c>
      <c r="N156" s="5">
        <v>-15.77711152</v>
      </c>
      <c r="O156" s="5">
        <v>8.25</v>
      </c>
      <c r="P156" s="5">
        <v>-22.5</v>
      </c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>
        <v>7.2533500000000002</v>
      </c>
      <c r="AJ156" s="5">
        <v>-15.461690000000001</v>
      </c>
      <c r="AK156" s="5">
        <v>7.2533500000000002</v>
      </c>
      <c r="AL156" s="5">
        <v>-15.13829</v>
      </c>
    </row>
    <row r="157" spans="13:38" x14ac:dyDescent="0.2">
      <c r="M157" s="5">
        <v>8.2194749199999997</v>
      </c>
      <c r="N157" s="5">
        <v>-15.77711152</v>
      </c>
      <c r="O157" s="5">
        <v>8.25</v>
      </c>
      <c r="P157" s="5">
        <v>-22.5</v>
      </c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>
        <v>7.2939499999999997</v>
      </c>
      <c r="AJ157" s="5">
        <v>-15.5114</v>
      </c>
      <c r="AK157" s="5">
        <v>7.2939499999999997</v>
      </c>
      <c r="AL157" s="5">
        <v>-15.18552</v>
      </c>
    </row>
    <row r="158" spans="13:38" x14ac:dyDescent="0.2">
      <c r="M158" s="5">
        <v>8.2194749199999997</v>
      </c>
      <c r="N158" s="5">
        <v>-15.77711152</v>
      </c>
      <c r="O158" s="5">
        <v>8.25</v>
      </c>
      <c r="P158" s="5">
        <v>-22.5</v>
      </c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>
        <v>7.3345599999999997</v>
      </c>
      <c r="AJ158" s="5">
        <v>-15.56132</v>
      </c>
      <c r="AK158" s="5">
        <v>7.3345599999999997</v>
      </c>
      <c r="AL158" s="5">
        <v>-15.230930000000001</v>
      </c>
    </row>
    <row r="159" spans="13:38" x14ac:dyDescent="0.2">
      <c r="M159" s="5">
        <v>8.2194749199999997</v>
      </c>
      <c r="N159" s="5">
        <v>-15.77711152</v>
      </c>
      <c r="O159" s="5">
        <v>8.25</v>
      </c>
      <c r="P159" s="5">
        <v>-22.5</v>
      </c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>
        <v>7.3751600000000002</v>
      </c>
      <c r="AJ159" s="5">
        <v>-15.61134</v>
      </c>
      <c r="AK159" s="5">
        <v>7.3751600000000002</v>
      </c>
      <c r="AL159" s="5">
        <v>-15.274839999999999</v>
      </c>
    </row>
    <row r="160" spans="13:38" x14ac:dyDescent="0.2">
      <c r="M160" s="5">
        <v>8.2194749199999997</v>
      </c>
      <c r="N160" s="5">
        <v>-15.77711152</v>
      </c>
      <c r="O160" s="5">
        <v>8.25</v>
      </c>
      <c r="P160" s="5">
        <v>-22.5</v>
      </c>
      <c r="Q160" s="5"/>
      <c r="R160" s="5"/>
      <c r="S160" s="5"/>
      <c r="T160" s="5"/>
      <c r="U160" s="5"/>
      <c r="V160" s="5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>
        <v>7.4157700000000002</v>
      </c>
      <c r="AJ160" s="5">
        <v>-15.66132</v>
      </c>
      <c r="AK160" s="5">
        <v>7.4157700000000002</v>
      </c>
      <c r="AL160" s="5">
        <v>-15.317550000000001</v>
      </c>
    </row>
    <row r="161" spans="13:38" x14ac:dyDescent="0.2">
      <c r="M161" s="5">
        <v>8.2194749199999997</v>
      </c>
      <c r="N161" s="5">
        <v>-15.77711152</v>
      </c>
      <c r="O161" s="5">
        <v>8.25</v>
      </c>
      <c r="P161" s="5">
        <v>-22.5</v>
      </c>
      <c r="Q161" s="5"/>
      <c r="R161" s="5"/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>
        <v>7.4563800000000002</v>
      </c>
      <c r="AJ161" s="5">
        <v>-15.711130000000001</v>
      </c>
      <c r="AK161" s="5">
        <v>7.4563800000000002</v>
      </c>
      <c r="AL161" s="5">
        <v>-15.35938</v>
      </c>
    </row>
    <row r="162" spans="13:38" x14ac:dyDescent="0.2">
      <c r="M162" s="5">
        <v>8.2194749199999997</v>
      </c>
      <c r="N162" s="5">
        <v>-15.77711152</v>
      </c>
      <c r="O162" s="5">
        <v>8.25</v>
      </c>
      <c r="P162" s="5">
        <v>-22.5</v>
      </c>
      <c r="Q162" s="5"/>
      <c r="R162" s="5"/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>
        <v>7.4969799999999998</v>
      </c>
      <c r="AJ162" s="5">
        <v>-15.76065</v>
      </c>
      <c r="AK162" s="5">
        <v>7.4969799999999998</v>
      </c>
      <c r="AL162" s="5">
        <v>-15.40063</v>
      </c>
    </row>
    <row r="163" spans="13:38" x14ac:dyDescent="0.2">
      <c r="M163" s="5">
        <v>8.2194749199999997</v>
      </c>
      <c r="N163" s="5">
        <v>-15.77711152</v>
      </c>
      <c r="O163" s="5">
        <v>8.25</v>
      </c>
      <c r="P163" s="5">
        <v>-22.5</v>
      </c>
      <c r="Q163" s="5"/>
      <c r="R163" s="5"/>
      <c r="S163" s="5"/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>
        <v>7.5375899999999998</v>
      </c>
      <c r="AJ163" s="5">
        <v>-15.80973</v>
      </c>
      <c r="AK163" s="5">
        <v>7.5375899999999998</v>
      </c>
      <c r="AL163" s="5">
        <v>-15.44162</v>
      </c>
    </row>
    <row r="164" spans="13:38" x14ac:dyDescent="0.2">
      <c r="M164" s="5">
        <v>8.2194749199999997</v>
      </c>
      <c r="N164" s="5">
        <v>-15.77711152</v>
      </c>
      <c r="O164" s="5">
        <v>8.25</v>
      </c>
      <c r="P164" s="5">
        <v>-22.5</v>
      </c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>
        <v>7.5781900000000002</v>
      </c>
      <c r="AJ164" s="5">
        <v>-15.85826</v>
      </c>
      <c r="AK164" s="5">
        <v>7.5781900000000002</v>
      </c>
      <c r="AL164" s="5">
        <v>-15.48265</v>
      </c>
    </row>
    <row r="165" spans="13:38" x14ac:dyDescent="0.2">
      <c r="M165" s="5">
        <v>8.2194749199999997</v>
      </c>
      <c r="N165" s="5">
        <v>-15.77711152</v>
      </c>
      <c r="O165" s="5">
        <v>8.25</v>
      </c>
      <c r="P165" s="5">
        <v>-22.5</v>
      </c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>
        <v>7.6188000000000002</v>
      </c>
      <c r="AJ165" s="5">
        <v>-15.9061</v>
      </c>
      <c r="AK165" s="5">
        <v>7.6188000000000002</v>
      </c>
      <c r="AL165" s="5">
        <v>-15.524039999999999</v>
      </c>
    </row>
    <row r="166" spans="13:38" x14ac:dyDescent="0.2">
      <c r="M166" s="5">
        <v>8.2194749199999997</v>
      </c>
      <c r="N166" s="5">
        <v>-15.77711152</v>
      </c>
      <c r="O166" s="5">
        <v>8.25</v>
      </c>
      <c r="P166" s="5">
        <v>-22.5</v>
      </c>
      <c r="Q166" s="5"/>
      <c r="R166" s="5"/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>
        <v>7.6594100000000003</v>
      </c>
      <c r="AJ166" s="5">
        <v>-15.95313</v>
      </c>
      <c r="AK166" s="5">
        <v>7.6594100000000003</v>
      </c>
      <c r="AL166" s="5">
        <v>-15.566079999999999</v>
      </c>
    </row>
    <row r="167" spans="13:38" x14ac:dyDescent="0.2">
      <c r="M167" s="5">
        <v>8.2194749199999997</v>
      </c>
      <c r="N167" s="5">
        <v>-15.77711152</v>
      </c>
      <c r="O167" s="5">
        <v>8.25</v>
      </c>
      <c r="P167" s="5">
        <v>-22.5</v>
      </c>
      <c r="Q167" s="5"/>
      <c r="R167" s="5"/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>
        <v>7.7000099999999998</v>
      </c>
      <c r="AJ167" s="5">
        <v>-15.99921</v>
      </c>
      <c r="AK167" s="5">
        <v>7.7000099999999998</v>
      </c>
      <c r="AL167" s="5">
        <v>-15.6091</v>
      </c>
    </row>
    <row r="168" spans="13:38" x14ac:dyDescent="0.2">
      <c r="M168" s="5">
        <v>8.2194749199999997</v>
      </c>
      <c r="N168" s="5">
        <v>-15.77711152</v>
      </c>
      <c r="O168" s="5">
        <v>8.25</v>
      </c>
      <c r="P168" s="5">
        <v>-22.5</v>
      </c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>
        <v>7.7406199999999998</v>
      </c>
      <c r="AJ168" s="5">
        <v>-16.04421</v>
      </c>
      <c r="AK168" s="5">
        <v>7.7406199999999998</v>
      </c>
      <c r="AL168" s="5">
        <v>-15.6533</v>
      </c>
    </row>
    <row r="169" spans="13:38" x14ac:dyDescent="0.2">
      <c r="M169" s="5">
        <v>8.2194749199999997</v>
      </c>
      <c r="N169" s="5">
        <v>-15.77711152</v>
      </c>
      <c r="O169" s="5">
        <v>8.25</v>
      </c>
      <c r="P169" s="5">
        <v>-22.5</v>
      </c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>
        <v>7.7812200000000002</v>
      </c>
      <c r="AJ169" s="5">
        <v>-16.088190000000001</v>
      </c>
      <c r="AK169" s="5">
        <v>7.7812200000000002</v>
      </c>
      <c r="AL169" s="5">
        <v>-15.69866</v>
      </c>
    </row>
    <row r="170" spans="13:38" x14ac:dyDescent="0.2">
      <c r="M170" s="5">
        <v>8.2194749199999997</v>
      </c>
      <c r="N170" s="5">
        <v>-15.77711152</v>
      </c>
      <c r="O170" s="5">
        <v>8.25</v>
      </c>
      <c r="P170" s="5">
        <v>-22.5</v>
      </c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>
        <v>7.8218300000000003</v>
      </c>
      <c r="AJ170" s="5">
        <v>-16.13139</v>
      </c>
      <c r="AK170" s="5">
        <v>7.8218300000000003</v>
      </c>
      <c r="AL170" s="5">
        <v>-15.74513</v>
      </c>
    </row>
    <row r="171" spans="13:38" x14ac:dyDescent="0.2">
      <c r="M171" s="5">
        <v>8.2194749199999997</v>
      </c>
      <c r="N171" s="5">
        <v>-15.77711152</v>
      </c>
      <c r="O171" s="5">
        <v>8.25</v>
      </c>
      <c r="P171" s="5">
        <v>-22.5</v>
      </c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>
        <v>7.8624400000000003</v>
      </c>
      <c r="AJ171" s="5">
        <v>-16.174099999999999</v>
      </c>
      <c r="AK171" s="5">
        <v>7.8624400000000003</v>
      </c>
      <c r="AL171" s="5">
        <v>-15.792680000000001</v>
      </c>
    </row>
    <row r="172" spans="13:38" x14ac:dyDescent="0.2">
      <c r="M172" s="5">
        <v>8.2194749199999997</v>
      </c>
      <c r="N172" s="5">
        <v>-15.77711152</v>
      </c>
      <c r="O172" s="5">
        <v>8.25</v>
      </c>
      <c r="P172" s="5">
        <v>-22.5</v>
      </c>
      <c r="Q172" s="5"/>
      <c r="R172" s="5"/>
      <c r="S172" s="5"/>
      <c r="T172" s="5"/>
      <c r="U172" s="5"/>
      <c r="V172" s="5"/>
      <c r="W172" s="5"/>
      <c r="X172" s="5"/>
      <c r="Y172" s="5"/>
      <c r="Z172" s="5"/>
      <c r="AA172" s="5"/>
      <c r="AB172" s="5"/>
      <c r="AC172" s="5"/>
      <c r="AD172" s="5"/>
      <c r="AE172" s="5"/>
      <c r="AF172" s="5"/>
      <c r="AG172" s="5"/>
      <c r="AH172" s="5"/>
      <c r="AI172" s="5">
        <v>7.9030399999999998</v>
      </c>
      <c r="AJ172" s="5">
        <v>-16.21659</v>
      </c>
      <c r="AK172" s="5">
        <v>7.9030399999999998</v>
      </c>
      <c r="AL172" s="5">
        <v>-15.84126</v>
      </c>
    </row>
    <row r="173" spans="13:38" x14ac:dyDescent="0.2">
      <c r="M173" s="5">
        <v>8.2194749199999997</v>
      </c>
      <c r="N173" s="5">
        <v>-15.77711152</v>
      </c>
      <c r="O173" s="5">
        <v>8.25</v>
      </c>
      <c r="P173" s="5">
        <v>-22.5</v>
      </c>
      <c r="Q173" s="5"/>
      <c r="R173" s="5"/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>
        <v>7.9436499999999999</v>
      </c>
      <c r="AJ173" s="5">
        <v>-16.259150000000002</v>
      </c>
      <c r="AK173" s="5">
        <v>7.9436499999999999</v>
      </c>
      <c r="AL173" s="5">
        <v>-15.89082</v>
      </c>
    </row>
    <row r="174" spans="13:38" x14ac:dyDescent="0.2">
      <c r="M174" s="5">
        <v>8.2194749199999997</v>
      </c>
      <c r="N174" s="5">
        <v>-15.77711152</v>
      </c>
      <c r="O174" s="5">
        <v>8.25</v>
      </c>
      <c r="P174" s="5">
        <v>-22.5</v>
      </c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>
        <v>7.9842500000000003</v>
      </c>
      <c r="AJ174" s="5">
        <v>-16.302060000000001</v>
      </c>
      <c r="AK174" s="5">
        <v>7.9842500000000003</v>
      </c>
      <c r="AL174" s="5">
        <v>-15.941319999999999</v>
      </c>
    </row>
    <row r="175" spans="13:38" x14ac:dyDescent="0.2">
      <c r="M175" s="5">
        <v>8.2194749199999997</v>
      </c>
      <c r="N175" s="5">
        <v>-15.77711152</v>
      </c>
      <c r="O175" s="5">
        <v>8.25</v>
      </c>
      <c r="P175" s="5">
        <v>-22.5</v>
      </c>
      <c r="Q175" s="5"/>
      <c r="R175" s="5"/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>
        <v>8.0248600000000003</v>
      </c>
      <c r="AJ175" s="5">
        <v>-16.345580000000002</v>
      </c>
      <c r="AK175" s="5">
        <v>8.0248600000000003</v>
      </c>
      <c r="AL175" s="5">
        <v>-15.99272</v>
      </c>
    </row>
    <row r="176" spans="13:38" x14ac:dyDescent="0.2">
      <c r="M176" s="5">
        <v>8.2194749199999997</v>
      </c>
      <c r="N176" s="5">
        <v>-15.77711152</v>
      </c>
      <c r="O176" s="5">
        <v>8.25</v>
      </c>
      <c r="P176" s="5">
        <v>-22.5</v>
      </c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>
        <v>8.0654699999999995</v>
      </c>
      <c r="AJ176" s="5">
        <v>-16.39</v>
      </c>
      <c r="AK176" s="5">
        <v>8.0654699999999995</v>
      </c>
      <c r="AL176" s="5">
        <v>-16.044969999999999</v>
      </c>
    </row>
    <row r="177" spans="13:38" x14ac:dyDescent="0.2">
      <c r="M177" s="5">
        <v>8.2194749199999997</v>
      </c>
      <c r="N177" s="5">
        <v>-15.77711152</v>
      </c>
      <c r="O177" s="5">
        <v>8.25</v>
      </c>
      <c r="P177" s="5">
        <v>-22.5</v>
      </c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>
        <v>8.1060700000000008</v>
      </c>
      <c r="AJ177" s="5">
        <v>-16.435600000000001</v>
      </c>
      <c r="AK177" s="5">
        <v>8.1060700000000008</v>
      </c>
      <c r="AL177" s="5">
        <v>-16.098030000000001</v>
      </c>
    </row>
    <row r="178" spans="13:38" x14ac:dyDescent="0.2">
      <c r="M178" s="5">
        <v>8.2194749199999997</v>
      </c>
      <c r="N178" s="5">
        <v>-15.77711152</v>
      </c>
      <c r="O178" s="5">
        <v>8.25</v>
      </c>
      <c r="P178" s="5">
        <v>-22.5</v>
      </c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>
        <v>8.1466799999999999</v>
      </c>
      <c r="AJ178" s="5">
        <v>-16.48265</v>
      </c>
      <c r="AK178" s="5">
        <v>8.1466799999999999</v>
      </c>
      <c r="AL178" s="5">
        <v>-16.15185</v>
      </c>
    </row>
    <row r="179" spans="13:38" x14ac:dyDescent="0.2">
      <c r="M179" s="5">
        <v>8.2194749199999997</v>
      </c>
      <c r="N179" s="5">
        <v>-15.77711152</v>
      </c>
      <c r="O179" s="5">
        <v>8.25</v>
      </c>
      <c r="P179" s="5">
        <v>-22.5</v>
      </c>
      <c r="Q179" s="5"/>
      <c r="R179" s="5"/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>
        <v>8.1872900000000008</v>
      </c>
      <c r="AJ179" s="5">
        <v>-16.53144</v>
      </c>
      <c r="AK179" s="5">
        <v>8.1872900000000008</v>
      </c>
      <c r="AL179" s="5">
        <v>-16.206389999999999</v>
      </c>
    </row>
    <row r="180" spans="13:38" x14ac:dyDescent="0.2">
      <c r="M180" s="5">
        <v>8.2194749199999997</v>
      </c>
      <c r="N180" s="5">
        <v>-15.77711152</v>
      </c>
      <c r="O180" s="5">
        <v>8.25</v>
      </c>
      <c r="P180" s="5">
        <v>-22.5</v>
      </c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>
        <v>8.2278900000000004</v>
      </c>
      <c r="AJ180" s="5">
        <v>-16.582239999999999</v>
      </c>
      <c r="AK180" s="5">
        <v>8.2278900000000004</v>
      </c>
      <c r="AL180" s="5">
        <v>-16.261600000000001</v>
      </c>
    </row>
    <row r="181" spans="13:38" x14ac:dyDescent="0.2">
      <c r="M181" s="5">
        <v>8.2194749199999997</v>
      </c>
      <c r="N181" s="5">
        <v>-15.77711152</v>
      </c>
      <c r="O181" s="5">
        <v>8.25</v>
      </c>
      <c r="P181" s="5">
        <v>-22.5</v>
      </c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>
        <v>8.2684999999999995</v>
      </c>
      <c r="AJ181" s="5">
        <v>-16.635470000000002</v>
      </c>
      <c r="AK181" s="5">
        <v>8.2684999999999995</v>
      </c>
      <c r="AL181" s="5">
        <v>-16.31784</v>
      </c>
    </row>
    <row r="182" spans="13:38" x14ac:dyDescent="0.2">
      <c r="M182" s="5">
        <v>8.2194749199999997</v>
      </c>
      <c r="N182" s="5">
        <v>-15.77711152</v>
      </c>
      <c r="O182" s="5">
        <v>8.25</v>
      </c>
      <c r="P182" s="5">
        <v>-22.5</v>
      </c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>
        <v>8.3091000000000008</v>
      </c>
      <c r="AJ182" s="5">
        <v>-16.692309999999999</v>
      </c>
      <c r="AK182" s="5">
        <v>8.3091000000000008</v>
      </c>
      <c r="AL182" s="5">
        <v>-16.37632</v>
      </c>
    </row>
    <row r="183" spans="13:38" x14ac:dyDescent="0.2">
      <c r="M183" s="5">
        <v>8.2194749199999997</v>
      </c>
      <c r="N183" s="5">
        <v>-15.77711152</v>
      </c>
      <c r="O183" s="5">
        <v>8.25</v>
      </c>
      <c r="P183" s="5">
        <v>-22.5</v>
      </c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>
        <v>8.34971</v>
      </c>
      <c r="AJ183" s="5">
        <v>-16.754169999999998</v>
      </c>
      <c r="AK183" s="5">
        <v>8.34971</v>
      </c>
      <c r="AL183" s="5">
        <v>-16.43834</v>
      </c>
    </row>
    <row r="184" spans="13:38" x14ac:dyDescent="0.2">
      <c r="M184" s="5">
        <v>8.2194749199999997</v>
      </c>
      <c r="N184" s="5">
        <v>-15.77711152</v>
      </c>
      <c r="O184" s="5">
        <v>8.25</v>
      </c>
      <c r="P184" s="5">
        <v>-22.5</v>
      </c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>
        <v>8.3903199999999991</v>
      </c>
      <c r="AJ184" s="5">
        <v>-16.822410000000001</v>
      </c>
      <c r="AK184" s="5">
        <v>8.3903199999999991</v>
      </c>
      <c r="AL184" s="5">
        <v>-16.505210000000002</v>
      </c>
    </row>
    <row r="185" spans="13:38" x14ac:dyDescent="0.2">
      <c r="M185" s="5">
        <v>8.2194749199999997</v>
      </c>
      <c r="N185" s="5">
        <v>-15.77711152</v>
      </c>
      <c r="O185" s="5">
        <v>8.25</v>
      </c>
      <c r="P185" s="5">
        <v>-22.5</v>
      </c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>
        <v>8.4309200000000004</v>
      </c>
      <c r="AJ185" s="5">
        <v>-16.897919999999999</v>
      </c>
      <c r="AK185" s="5">
        <v>8.4309200000000004</v>
      </c>
      <c r="AL185" s="5">
        <v>-16.57826</v>
      </c>
    </row>
    <row r="186" spans="13:38" x14ac:dyDescent="0.2">
      <c r="M186" s="5">
        <v>8.2194749199999997</v>
      </c>
      <c r="N186" s="5">
        <v>-15.77711152</v>
      </c>
      <c r="O186" s="5">
        <v>8.25</v>
      </c>
      <c r="P186" s="5">
        <v>-22.5</v>
      </c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>
        <v>8.4715299999999996</v>
      </c>
      <c r="AJ186" s="5">
        <v>-16.981300000000001</v>
      </c>
      <c r="AK186" s="5">
        <v>8.4715299999999996</v>
      </c>
      <c r="AL186" s="5">
        <v>-16.658799999999999</v>
      </c>
    </row>
    <row r="187" spans="13:38" x14ac:dyDescent="0.2">
      <c r="M187" s="5">
        <v>8.2194749199999997</v>
      </c>
      <c r="N187" s="5">
        <v>-15.77711152</v>
      </c>
      <c r="O187" s="5">
        <v>8.25</v>
      </c>
      <c r="P187" s="5">
        <v>-22.5</v>
      </c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>
        <v>8.5121400000000005</v>
      </c>
      <c r="AJ187" s="5">
        <v>-17.073129999999999</v>
      </c>
      <c r="AK187" s="5">
        <v>8.5121400000000005</v>
      </c>
      <c r="AL187" s="5">
        <v>-16.748149999999999</v>
      </c>
    </row>
    <row r="188" spans="13:38" x14ac:dyDescent="0.2">
      <c r="M188" s="5">
        <v>8.2194749199999997</v>
      </c>
      <c r="N188" s="5">
        <v>-15.77711152</v>
      </c>
      <c r="O188" s="5">
        <v>8.25</v>
      </c>
      <c r="P188" s="5">
        <v>-22.5</v>
      </c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>
        <v>8.55274</v>
      </c>
      <c r="AJ188" s="5">
        <v>-17.174009999999999</v>
      </c>
      <c r="AK188" s="5">
        <v>8.55274</v>
      </c>
      <c r="AL188" s="5">
        <v>-16.847439999999999</v>
      </c>
    </row>
    <row r="189" spans="13:38" x14ac:dyDescent="0.2">
      <c r="M189" s="5">
        <v>8.2194749199999997</v>
      </c>
      <c r="N189" s="5">
        <v>-15.77711152</v>
      </c>
      <c r="O189" s="5">
        <v>8.25</v>
      </c>
      <c r="P189" s="5">
        <v>-22.5</v>
      </c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>
        <v>8.5933499999999992</v>
      </c>
      <c r="AJ189" s="5">
        <v>-17.284579999999998</v>
      </c>
      <c r="AK189" s="5">
        <v>8.5933499999999992</v>
      </c>
      <c r="AL189" s="5">
        <v>-16.957460000000001</v>
      </c>
    </row>
    <row r="190" spans="13:38" x14ac:dyDescent="0.2">
      <c r="M190" s="5">
        <v>8.2194749199999997</v>
      </c>
      <c r="N190" s="5">
        <v>-15.77711152</v>
      </c>
      <c r="O190" s="5">
        <v>8.25</v>
      </c>
      <c r="P190" s="5">
        <v>-22.5</v>
      </c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>
        <v>8.6339600000000001</v>
      </c>
      <c r="AJ190" s="5">
        <v>-17.405809999999999</v>
      </c>
      <c r="AK190" s="5">
        <v>8.6339600000000001</v>
      </c>
      <c r="AL190" s="5">
        <v>-17.078980000000001</v>
      </c>
    </row>
    <row r="191" spans="13:38" x14ac:dyDescent="0.2">
      <c r="M191" s="5">
        <v>8.2194749199999997</v>
      </c>
      <c r="N191" s="5">
        <v>-15.77711152</v>
      </c>
      <c r="O191" s="5">
        <v>8.25</v>
      </c>
      <c r="P191" s="5">
        <v>-22.5</v>
      </c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>
        <v>8.6745599999999996</v>
      </c>
      <c r="AJ191" s="5">
        <v>-17.538869999999999</v>
      </c>
      <c r="AK191" s="5">
        <v>8.6745599999999996</v>
      </c>
      <c r="AL191" s="5">
        <v>-17.212759999999999</v>
      </c>
    </row>
    <row r="192" spans="13:38" x14ac:dyDescent="0.2">
      <c r="M192" s="5">
        <v>8.2194749199999997</v>
      </c>
      <c r="N192" s="5">
        <v>-15.77711152</v>
      </c>
      <c r="O192" s="5">
        <v>8.25</v>
      </c>
      <c r="P192" s="5">
        <v>-22.5</v>
      </c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>
        <v>8.7151700000000005</v>
      </c>
      <c r="AJ192" s="5">
        <v>-17.684899999999999</v>
      </c>
      <c r="AK192" s="5">
        <v>8.7151700000000005</v>
      </c>
      <c r="AL192" s="5">
        <v>-17.359549999999999</v>
      </c>
    </row>
    <row r="193" spans="13:38" x14ac:dyDescent="0.2">
      <c r="M193" s="5">
        <v>8.2194749199999997</v>
      </c>
      <c r="N193" s="5">
        <v>-15.77711152</v>
      </c>
      <c r="O193" s="5">
        <v>8.25</v>
      </c>
      <c r="P193" s="5">
        <v>-22.5</v>
      </c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>
        <v>8.7557799999999997</v>
      </c>
      <c r="AJ193" s="5">
        <v>-17.84506</v>
      </c>
      <c r="AK193" s="5">
        <v>8.7557799999999997</v>
      </c>
      <c r="AL193" s="5">
        <v>-17.520219999999998</v>
      </c>
    </row>
    <row r="194" spans="13:38" x14ac:dyDescent="0.2">
      <c r="M194" s="5">
        <v>8.2194749199999997</v>
      </c>
      <c r="N194" s="5">
        <v>-15.77711152</v>
      </c>
      <c r="O194" s="5">
        <v>8.25</v>
      </c>
      <c r="P194" s="5">
        <v>-22.5</v>
      </c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>
        <v>8.7963799999999992</v>
      </c>
      <c r="AJ194" s="5">
        <v>-18.020600000000002</v>
      </c>
      <c r="AK194" s="5">
        <v>8.7963799999999992</v>
      </c>
      <c r="AL194" s="5">
        <v>-17.696269999999998</v>
      </c>
    </row>
    <row r="195" spans="13:38" x14ac:dyDescent="0.2">
      <c r="M195" s="5">
        <v>8.2194749199999997</v>
      </c>
      <c r="N195" s="5">
        <v>-15.77711152</v>
      </c>
      <c r="O195" s="5">
        <v>8.25</v>
      </c>
      <c r="P195" s="5">
        <v>-22.5</v>
      </c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>
        <v>8.8369900000000001</v>
      </c>
      <c r="AJ195" s="5">
        <v>-18.213360000000002</v>
      </c>
      <c r="AK195" s="5">
        <v>8.8369900000000001</v>
      </c>
      <c r="AL195" s="5">
        <v>-17.889510000000001</v>
      </c>
    </row>
    <row r="196" spans="13:38" x14ac:dyDescent="0.2">
      <c r="M196" s="5">
        <v>8.2194749199999997</v>
      </c>
      <c r="N196" s="5">
        <v>-15.77711152</v>
      </c>
      <c r="O196" s="5">
        <v>8.25</v>
      </c>
      <c r="P196" s="5">
        <v>-22.5</v>
      </c>
      <c r="Q196" s="5"/>
      <c r="R196" s="5"/>
      <c r="S196" s="5"/>
      <c r="T196" s="5"/>
      <c r="U196" s="5"/>
      <c r="V196" s="5"/>
      <c r="W196" s="5"/>
      <c r="X196" s="5"/>
      <c r="Y196" s="5"/>
      <c r="Z196" s="5"/>
      <c r="AA196" s="5"/>
      <c r="AB196" s="5"/>
      <c r="AC196" s="5"/>
      <c r="AD196" s="5"/>
      <c r="AE196" s="5"/>
      <c r="AF196" s="5"/>
      <c r="AG196" s="5"/>
      <c r="AH196" s="5"/>
      <c r="AI196" s="5">
        <v>8.8775999999999993</v>
      </c>
      <c r="AJ196" s="5">
        <v>-18.425429999999999</v>
      </c>
      <c r="AK196" s="5">
        <v>8.8775999999999993</v>
      </c>
      <c r="AL196" s="5">
        <v>-18.101749999999999</v>
      </c>
    </row>
    <row r="197" spans="13:38" x14ac:dyDescent="0.2">
      <c r="M197" s="5">
        <v>8.2194749199999997</v>
      </c>
      <c r="N197" s="5">
        <v>-15.77711152</v>
      </c>
      <c r="O197" s="5">
        <v>8.25</v>
      </c>
      <c r="P197" s="5">
        <v>-22.5</v>
      </c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>
        <v>8.9182000000000006</v>
      </c>
      <c r="AJ197" s="5">
        <v>-18.65887</v>
      </c>
      <c r="AK197" s="5">
        <v>8.9182000000000006</v>
      </c>
      <c r="AL197" s="5">
        <v>-18.334869999999999</v>
      </c>
    </row>
    <row r="198" spans="13:38" x14ac:dyDescent="0.2">
      <c r="M198" s="5">
        <v>8.2194749199999997</v>
      </c>
      <c r="N198" s="5">
        <v>-15.77711152</v>
      </c>
      <c r="O198" s="5">
        <v>8.25</v>
      </c>
      <c r="P198" s="5">
        <v>-22.5</v>
      </c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>
        <v>8.9588099999999997</v>
      </c>
      <c r="AJ198" s="5">
        <v>-18.915769999999998</v>
      </c>
      <c r="AK198" s="5">
        <v>8.9588099999999997</v>
      </c>
      <c r="AL198" s="5">
        <v>-18.590779999999999</v>
      </c>
    </row>
    <row r="199" spans="13:38" x14ac:dyDescent="0.2">
      <c r="M199" s="5">
        <v>8.2194749199999997</v>
      </c>
      <c r="N199" s="5">
        <v>-15.77711152</v>
      </c>
      <c r="O199" s="5">
        <v>8.25</v>
      </c>
      <c r="P199" s="5">
        <v>-22.5</v>
      </c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>
        <v>8.9994200000000006</v>
      </c>
      <c r="AJ199" s="5">
        <v>-19.19821</v>
      </c>
      <c r="AK199" s="5">
        <v>8.9994200000000006</v>
      </c>
      <c r="AL199" s="5">
        <v>-18.871739999999999</v>
      </c>
    </row>
    <row r="200" spans="13:38" x14ac:dyDescent="0.2">
      <c r="M200" s="5">
        <v>8.2194749199999997</v>
      </c>
      <c r="N200" s="5">
        <v>-15.77711152</v>
      </c>
      <c r="O200" s="5">
        <v>8.25</v>
      </c>
      <c r="P200" s="5">
        <v>-22.5</v>
      </c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>
        <v>9.0400200000000002</v>
      </c>
      <c r="AJ200" s="5">
        <v>-19.50827</v>
      </c>
      <c r="AK200" s="5">
        <v>9.0400200000000002</v>
      </c>
      <c r="AL200" s="5">
        <v>-19.180430000000001</v>
      </c>
    </row>
    <row r="201" spans="13:38" x14ac:dyDescent="0.2">
      <c r="M201" s="5">
        <v>8.2194749199999997</v>
      </c>
      <c r="N201" s="5">
        <v>-15.77711152</v>
      </c>
      <c r="O201" s="5">
        <v>8.25</v>
      </c>
      <c r="P201" s="5">
        <v>-22.5</v>
      </c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>
        <v>9.0806299999999993</v>
      </c>
      <c r="AJ201" s="5">
        <v>-19.848020000000002</v>
      </c>
      <c r="AK201" s="5">
        <v>9.0806299999999993</v>
      </c>
      <c r="AL201" s="5">
        <v>-19.519549999999999</v>
      </c>
    </row>
    <row r="202" spans="13:38" x14ac:dyDescent="0.2">
      <c r="M202" s="5">
        <v>8.2194749199999997</v>
      </c>
      <c r="N202" s="5">
        <v>-15.77711152</v>
      </c>
      <c r="O202" s="5">
        <v>8.25</v>
      </c>
      <c r="P202" s="5">
        <v>-22.5</v>
      </c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>
        <v>9.1212300000000006</v>
      </c>
      <c r="AJ202" s="5">
        <v>-20.219539999999999</v>
      </c>
      <c r="AK202" s="5">
        <v>9.1212300000000006</v>
      </c>
      <c r="AL202" s="5">
        <v>-19.891819999999999</v>
      </c>
    </row>
  </sheetData>
  <phoneticPr fontId="3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CF56"/>
  <sheetViews>
    <sheetView tabSelected="1" workbookViewId="0">
      <pane xSplit="4" ySplit="3" topLeftCell="E13" activePane="bottomRight" state="frozen"/>
      <selection pane="topRight" activeCell="E1" sqref="E1"/>
      <selection pane="bottomLeft" activeCell="A4" sqref="A4"/>
      <selection pane="bottomRight" activeCell="D38" sqref="D38"/>
    </sheetView>
  </sheetViews>
  <sheetFormatPr defaultRowHeight="12.75" x14ac:dyDescent="0.2"/>
  <cols>
    <col min="1" max="2" width="9.28515625" bestFit="1" customWidth="1"/>
    <col min="3" max="3" width="17.42578125" customWidth="1"/>
    <col min="4" max="4" width="26.28515625" customWidth="1"/>
    <col min="5" max="11" width="9.28515625" bestFit="1" customWidth="1"/>
    <col min="12" max="12" width="11.5703125" bestFit="1" customWidth="1"/>
    <col min="13" max="13" width="9.28515625" bestFit="1" customWidth="1"/>
    <col min="14" max="14" width="9.5703125" bestFit="1" customWidth="1"/>
    <col min="15" max="15" width="10" customWidth="1"/>
    <col min="16" max="16" width="10.140625" customWidth="1"/>
    <col min="17" max="18" width="9.28515625" bestFit="1" customWidth="1"/>
    <col min="19" max="19" width="11.5703125" bestFit="1" customWidth="1"/>
    <col min="20" max="20" width="9.28515625" bestFit="1" customWidth="1"/>
    <col min="21" max="21" width="10" bestFit="1" customWidth="1"/>
    <col min="22" max="47" width="9.28515625" bestFit="1" customWidth="1"/>
  </cols>
  <sheetData>
    <row r="1" spans="1:84" x14ac:dyDescent="0.2">
      <c r="A1">
        <v>51</v>
      </c>
      <c r="B1" t="s">
        <v>155</v>
      </c>
      <c r="AV1">
        <v>48</v>
      </c>
      <c r="AW1">
        <v>49</v>
      </c>
      <c r="AX1">
        <v>50</v>
      </c>
      <c r="AY1">
        <v>51</v>
      </c>
      <c r="AZ1">
        <v>52</v>
      </c>
      <c r="BA1">
        <v>53</v>
      </c>
      <c r="BB1">
        <v>54</v>
      </c>
      <c r="BC1">
        <v>55</v>
      </c>
      <c r="BD1">
        <v>56</v>
      </c>
      <c r="BE1">
        <v>57</v>
      </c>
      <c r="BF1">
        <v>58</v>
      </c>
      <c r="BG1">
        <v>59</v>
      </c>
      <c r="BH1">
        <v>60</v>
      </c>
      <c r="BI1">
        <v>61</v>
      </c>
      <c r="BJ1">
        <v>62</v>
      </c>
      <c r="BK1">
        <v>63</v>
      </c>
      <c r="BL1">
        <v>64</v>
      </c>
      <c r="BM1">
        <v>65</v>
      </c>
      <c r="BN1">
        <v>66</v>
      </c>
      <c r="BO1">
        <v>67</v>
      </c>
      <c r="BP1">
        <v>68</v>
      </c>
      <c r="BQ1">
        <v>69</v>
      </c>
      <c r="BR1">
        <v>70</v>
      </c>
      <c r="BS1">
        <v>71</v>
      </c>
      <c r="BT1">
        <v>72</v>
      </c>
      <c r="BU1">
        <v>73</v>
      </c>
      <c r="BV1">
        <v>74</v>
      </c>
      <c r="BW1">
        <v>75</v>
      </c>
      <c r="BX1">
        <v>76</v>
      </c>
      <c r="BY1">
        <v>77</v>
      </c>
      <c r="BZ1">
        <v>78</v>
      </c>
      <c r="CA1">
        <v>79</v>
      </c>
      <c r="CB1">
        <v>80</v>
      </c>
      <c r="CC1">
        <v>81</v>
      </c>
      <c r="CD1">
        <v>82</v>
      </c>
      <c r="CE1">
        <v>83</v>
      </c>
      <c r="CF1">
        <v>84</v>
      </c>
    </row>
    <row r="2" spans="1:84" x14ac:dyDescent="0.2">
      <c r="A2" t="s">
        <v>0</v>
      </c>
      <c r="B2" s="69" t="s">
        <v>188</v>
      </c>
      <c r="C2" t="s">
        <v>1</v>
      </c>
      <c r="D2" t="s">
        <v>2</v>
      </c>
      <c r="E2" t="s">
        <v>3</v>
      </c>
      <c r="F2" t="s">
        <v>4</v>
      </c>
      <c r="G2" t="s">
        <v>5</v>
      </c>
      <c r="H2" t="s">
        <v>5</v>
      </c>
      <c r="I2" t="s">
        <v>6</v>
      </c>
      <c r="J2" t="s">
        <v>7</v>
      </c>
      <c r="K2" t="s">
        <v>8</v>
      </c>
      <c r="L2" t="s">
        <v>9</v>
      </c>
      <c r="M2" t="s">
        <v>10</v>
      </c>
      <c r="N2" t="s">
        <v>11</v>
      </c>
      <c r="O2" t="s">
        <v>12</v>
      </c>
      <c r="P2" t="s">
        <v>13</v>
      </c>
      <c r="Q2" t="s">
        <v>14</v>
      </c>
      <c r="R2" t="s">
        <v>15</v>
      </c>
      <c r="S2" t="s">
        <v>16</v>
      </c>
      <c r="T2" t="s">
        <v>17</v>
      </c>
      <c r="U2" t="s">
        <v>18</v>
      </c>
      <c r="V2" t="s">
        <v>19</v>
      </c>
      <c r="W2" s="68" t="s">
        <v>186</v>
      </c>
      <c r="X2" s="68" t="s">
        <v>187</v>
      </c>
      <c r="Y2" t="s">
        <v>22</v>
      </c>
      <c r="Z2" t="s">
        <v>23</v>
      </c>
      <c r="AA2" t="s">
        <v>24</v>
      </c>
      <c r="AB2" t="s">
        <v>25</v>
      </c>
      <c r="AC2" t="s">
        <v>26</v>
      </c>
      <c r="AD2" t="s">
        <v>27</v>
      </c>
      <c r="AE2" t="s">
        <v>28</v>
      </c>
      <c r="AF2" t="s">
        <v>29</v>
      </c>
      <c r="AG2" t="s">
        <v>30</v>
      </c>
      <c r="AH2" t="s">
        <v>31</v>
      </c>
      <c r="AI2" t="s">
        <v>32</v>
      </c>
      <c r="AJ2" t="s">
        <v>33</v>
      </c>
      <c r="AK2" t="s">
        <v>34</v>
      </c>
      <c r="AL2" t="s">
        <v>35</v>
      </c>
      <c r="AM2" t="s">
        <v>36</v>
      </c>
      <c r="AN2" t="s">
        <v>37</v>
      </c>
      <c r="AO2" t="s">
        <v>38</v>
      </c>
      <c r="AP2" t="s">
        <v>39</v>
      </c>
      <c r="AQ2" t="s">
        <v>40</v>
      </c>
      <c r="AR2" t="s">
        <v>41</v>
      </c>
      <c r="AS2" t="s">
        <v>42</v>
      </c>
      <c r="AT2" t="s">
        <v>43</v>
      </c>
      <c r="AU2" t="s">
        <v>44</v>
      </c>
    </row>
    <row r="3" spans="1:84" x14ac:dyDescent="0.2">
      <c r="A3" t="s">
        <v>45</v>
      </c>
      <c r="B3" t="s">
        <v>45</v>
      </c>
      <c r="C3" t="s">
        <v>45</v>
      </c>
      <c r="D3" t="s">
        <v>45</v>
      </c>
      <c r="E3" t="s">
        <v>46</v>
      </c>
      <c r="F3" t="s">
        <v>47</v>
      </c>
      <c r="G3" t="s">
        <v>48</v>
      </c>
      <c r="H3" t="s">
        <v>49</v>
      </c>
      <c r="I3" t="s">
        <v>46</v>
      </c>
      <c r="K3" t="s">
        <v>50</v>
      </c>
      <c r="R3" t="s">
        <v>51</v>
      </c>
      <c r="AG3" t="s">
        <v>52</v>
      </c>
      <c r="AH3" t="s">
        <v>53</v>
      </c>
    </row>
    <row r="4" spans="1:84" x14ac:dyDescent="0.2">
      <c r="A4">
        <v>1</v>
      </c>
      <c r="B4">
        <v>1</v>
      </c>
      <c r="C4" t="s">
        <v>54</v>
      </c>
      <c r="D4" t="s">
        <v>55</v>
      </c>
      <c r="E4" s="1">
        <v>2200</v>
      </c>
      <c r="F4" s="1">
        <v>829</v>
      </c>
      <c r="G4" s="1">
        <v>1.5</v>
      </c>
      <c r="H4" s="1">
        <v>1.5800000000000002E-2</v>
      </c>
      <c r="I4" s="1">
        <v>146</v>
      </c>
      <c r="J4">
        <v>0.5</v>
      </c>
      <c r="K4">
        <v>1</v>
      </c>
      <c r="L4" s="1">
        <v>2.6100000000000001E-5</v>
      </c>
      <c r="M4" s="1">
        <v>200</v>
      </c>
      <c r="N4" s="1">
        <v>0.503</v>
      </c>
      <c r="O4" s="1">
        <v>0.497</v>
      </c>
      <c r="P4">
        <v>0</v>
      </c>
      <c r="Q4">
        <v>0</v>
      </c>
      <c r="R4">
        <v>1</v>
      </c>
      <c r="S4" s="1">
        <v>-8.0000000000000002E-8</v>
      </c>
      <c r="T4" s="1">
        <v>1.6</v>
      </c>
      <c r="U4" s="1">
        <v>0.375</v>
      </c>
      <c r="V4" s="1">
        <v>1</v>
      </c>
      <c r="W4" s="1">
        <v>146</v>
      </c>
      <c r="X4" s="1">
        <v>146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2</v>
      </c>
      <c r="AH4" s="1">
        <v>-73</v>
      </c>
      <c r="AI4" s="1">
        <v>-39.299999999999997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</row>
    <row r="5" spans="1:84" x14ac:dyDescent="0.2">
      <c r="A5">
        <v>2</v>
      </c>
      <c r="B5">
        <v>2</v>
      </c>
      <c r="C5" t="s">
        <v>56</v>
      </c>
      <c r="D5" t="s">
        <v>55</v>
      </c>
      <c r="E5" s="1">
        <v>88</v>
      </c>
      <c r="F5" s="1">
        <v>840</v>
      </c>
      <c r="G5" s="1">
        <v>3.3000000000000002E-2</v>
      </c>
      <c r="H5" s="1">
        <v>5.9000000000000003E-4</v>
      </c>
      <c r="I5" s="1">
        <v>900</v>
      </c>
      <c r="J5">
        <v>0.5</v>
      </c>
      <c r="K5">
        <v>1</v>
      </c>
      <c r="L5" s="1">
        <v>2.6100000000000001E-5</v>
      </c>
      <c r="M5" s="1">
        <v>9.6</v>
      </c>
      <c r="N5" s="1">
        <v>0.503</v>
      </c>
      <c r="O5" s="1">
        <v>0.497</v>
      </c>
      <c r="P5">
        <v>0</v>
      </c>
      <c r="Q5">
        <v>0</v>
      </c>
      <c r="R5">
        <v>1</v>
      </c>
      <c r="S5" s="1">
        <v>-2.0000000000000001E-4</v>
      </c>
      <c r="T5" s="1">
        <v>2</v>
      </c>
      <c r="U5" s="1">
        <v>0.5</v>
      </c>
      <c r="V5" s="1">
        <v>1</v>
      </c>
      <c r="W5" s="1">
        <v>900</v>
      </c>
      <c r="X5" s="1">
        <v>900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1</v>
      </c>
      <c r="AH5">
        <v>-50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</row>
    <row r="6" spans="1:84" x14ac:dyDescent="0.2">
      <c r="A6">
        <v>3</v>
      </c>
      <c r="B6">
        <v>3</v>
      </c>
      <c r="C6" t="s">
        <v>57</v>
      </c>
      <c r="D6" t="s">
        <v>58</v>
      </c>
      <c r="E6" s="1">
        <v>2010</v>
      </c>
      <c r="F6" s="1">
        <v>840</v>
      </c>
      <c r="G6" s="1">
        <v>0.5</v>
      </c>
      <c r="H6" s="1">
        <v>4.4999999999999997E-3</v>
      </c>
      <c r="I6" s="1">
        <v>157</v>
      </c>
      <c r="J6">
        <v>0.5</v>
      </c>
      <c r="K6">
        <v>1</v>
      </c>
      <c r="L6" s="1">
        <v>2.6100000000000001E-5</v>
      </c>
      <c r="M6" s="1">
        <v>30</v>
      </c>
      <c r="N6" s="1">
        <v>0.503</v>
      </c>
      <c r="O6" s="1">
        <v>0.497</v>
      </c>
      <c r="P6">
        <v>0</v>
      </c>
      <c r="Q6">
        <v>0</v>
      </c>
      <c r="R6">
        <v>2</v>
      </c>
      <c r="S6" s="1">
        <v>-1.2500000000000001E-5</v>
      </c>
      <c r="T6" s="1">
        <v>1.65</v>
      </c>
      <c r="U6" s="1">
        <v>0.39400000000000002</v>
      </c>
      <c r="V6" s="1">
        <v>0.3</v>
      </c>
      <c r="W6" s="1">
        <v>157</v>
      </c>
      <c r="X6" s="1">
        <v>157</v>
      </c>
      <c r="Y6" s="1">
        <v>-1.8E-5</v>
      </c>
      <c r="Z6" s="1">
        <v>6</v>
      </c>
      <c r="AA6" s="1">
        <v>0.83299999999999996</v>
      </c>
      <c r="AB6" s="1">
        <v>0.7</v>
      </c>
      <c r="AC6">
        <v>0</v>
      </c>
      <c r="AD6">
        <v>0</v>
      </c>
      <c r="AE6">
        <v>0</v>
      </c>
      <c r="AF6">
        <v>0</v>
      </c>
      <c r="AG6">
        <v>3</v>
      </c>
      <c r="AH6" s="1">
        <v>1.9099999999999998E-9</v>
      </c>
      <c r="AI6" s="1">
        <v>-1.63</v>
      </c>
      <c r="AJ6" s="1">
        <v>2.9600000000000001E-5</v>
      </c>
      <c r="AK6" s="1">
        <v>6.62</v>
      </c>
      <c r="AL6" s="1">
        <v>0.84899999999999998</v>
      </c>
      <c r="AM6" s="1">
        <v>0.89100000000000001</v>
      </c>
      <c r="AN6" s="1">
        <v>4.1699999999999999E-7</v>
      </c>
      <c r="AO6" s="1">
        <v>1.17</v>
      </c>
      <c r="AP6" s="1">
        <v>0.14499999999999999</v>
      </c>
      <c r="AQ6" s="1">
        <v>5.0000000000000001E-4</v>
      </c>
      <c r="AR6" s="1">
        <v>1.0899999999999999E-6</v>
      </c>
      <c r="AS6" s="1">
        <v>2.04</v>
      </c>
      <c r="AT6" s="1">
        <v>0.51</v>
      </c>
      <c r="AU6" s="1">
        <v>0.109</v>
      </c>
    </row>
    <row r="7" spans="1:84" x14ac:dyDescent="0.2">
      <c r="A7">
        <v>4</v>
      </c>
      <c r="B7">
        <v>4</v>
      </c>
      <c r="C7" t="s">
        <v>59</v>
      </c>
      <c r="D7" t="s">
        <v>58</v>
      </c>
      <c r="E7" s="1">
        <v>790</v>
      </c>
      <c r="F7" s="1">
        <v>870</v>
      </c>
      <c r="G7" s="1">
        <v>0.2</v>
      </c>
      <c r="H7" s="1">
        <v>4.4999999999999997E-3</v>
      </c>
      <c r="I7" s="1">
        <v>209</v>
      </c>
      <c r="J7">
        <v>0.5</v>
      </c>
      <c r="K7">
        <v>1</v>
      </c>
      <c r="L7" s="1">
        <v>2.6100000000000001E-5</v>
      </c>
      <c r="M7" s="1">
        <v>3</v>
      </c>
      <c r="N7" s="1">
        <v>0.503</v>
      </c>
      <c r="O7" s="1">
        <v>0.497</v>
      </c>
      <c r="P7">
        <v>0</v>
      </c>
      <c r="Q7">
        <v>0</v>
      </c>
      <c r="R7">
        <v>1</v>
      </c>
      <c r="S7" s="1">
        <v>-1.9999999999999999E-6</v>
      </c>
      <c r="T7" s="1">
        <v>1.27</v>
      </c>
      <c r="U7" s="1">
        <v>0.21299999999999999</v>
      </c>
      <c r="V7" s="1">
        <v>209</v>
      </c>
      <c r="W7">
        <v>1</v>
      </c>
      <c r="X7">
        <v>1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2</v>
      </c>
      <c r="AH7" s="1">
        <v>-120</v>
      </c>
      <c r="AI7" s="1">
        <v>-33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</row>
    <row r="8" spans="1:84" x14ac:dyDescent="0.2">
      <c r="A8">
        <v>5</v>
      </c>
      <c r="B8">
        <v>5</v>
      </c>
      <c r="C8" t="s">
        <v>60</v>
      </c>
      <c r="D8" t="s">
        <v>61</v>
      </c>
      <c r="E8" s="1">
        <v>1500</v>
      </c>
      <c r="F8" s="1">
        <v>1050</v>
      </c>
      <c r="G8" s="1">
        <v>1.2</v>
      </c>
      <c r="H8">
        <v>0</v>
      </c>
      <c r="I8" s="1">
        <v>231</v>
      </c>
      <c r="J8">
        <v>0.5</v>
      </c>
      <c r="K8">
        <v>1</v>
      </c>
      <c r="L8" s="1">
        <v>2.6100000000000001E-5</v>
      </c>
      <c r="M8" s="1">
        <v>21.1</v>
      </c>
      <c r="N8" s="1">
        <v>0.503</v>
      </c>
      <c r="O8" s="1">
        <v>0.497</v>
      </c>
      <c r="P8">
        <v>0</v>
      </c>
      <c r="Q8">
        <v>0</v>
      </c>
      <c r="R8">
        <v>3</v>
      </c>
      <c r="S8" s="1">
        <v>-7.2099999999999996E-6</v>
      </c>
      <c r="T8" s="1">
        <v>1.4</v>
      </c>
      <c r="U8" s="1">
        <v>0.28599999999999998</v>
      </c>
      <c r="V8" s="1">
        <v>0.6</v>
      </c>
      <c r="W8" s="1">
        <v>231</v>
      </c>
      <c r="X8" s="1">
        <v>231</v>
      </c>
      <c r="Y8" s="1">
        <v>-1.02E-6</v>
      </c>
      <c r="Z8" s="1">
        <v>1.5</v>
      </c>
      <c r="AA8" s="1">
        <v>0.33300000000000002</v>
      </c>
      <c r="AB8" s="1">
        <v>0.33300000000000002</v>
      </c>
      <c r="AC8" s="1">
        <v>-2.04E-9</v>
      </c>
      <c r="AD8" s="1">
        <v>6</v>
      </c>
      <c r="AE8" s="1">
        <v>0.83299999999999996</v>
      </c>
      <c r="AF8" s="1">
        <v>6.7000000000000004E-2</v>
      </c>
      <c r="AG8">
        <v>3</v>
      </c>
      <c r="AH8" s="1">
        <v>3.3599999999999998E-12</v>
      </c>
      <c r="AI8" s="1">
        <v>-0.5</v>
      </c>
      <c r="AJ8" s="1">
        <v>1.1600000000000001E-5</v>
      </c>
      <c r="AK8" s="1">
        <v>4.55</v>
      </c>
      <c r="AL8" s="1">
        <v>0.78</v>
      </c>
      <c r="AM8" s="1">
        <v>0.13100000000000001</v>
      </c>
      <c r="AN8" s="1">
        <v>3.72E-6</v>
      </c>
      <c r="AO8" s="1">
        <v>3.73</v>
      </c>
      <c r="AP8" s="1">
        <v>0.73199999999999998</v>
      </c>
      <c r="AQ8" s="1">
        <v>0.152</v>
      </c>
      <c r="AR8" s="1">
        <v>5.4499999999999998E-8</v>
      </c>
      <c r="AS8" s="1">
        <v>2.0099999999999998</v>
      </c>
      <c r="AT8" s="1">
        <v>0.503</v>
      </c>
      <c r="AU8" s="1">
        <v>0.71699999999999997</v>
      </c>
    </row>
    <row r="9" spans="1:84" x14ac:dyDescent="0.2">
      <c r="A9">
        <v>6</v>
      </c>
      <c r="B9">
        <v>6</v>
      </c>
      <c r="C9" t="s">
        <v>62</v>
      </c>
      <c r="D9" t="s">
        <v>63</v>
      </c>
      <c r="E9" s="1">
        <v>1620</v>
      </c>
      <c r="F9" s="1">
        <v>1050</v>
      </c>
      <c r="G9" s="1">
        <v>1.2</v>
      </c>
      <c r="H9">
        <v>0</v>
      </c>
      <c r="I9" s="1">
        <v>126</v>
      </c>
      <c r="J9">
        <v>0.5</v>
      </c>
      <c r="K9">
        <v>1</v>
      </c>
      <c r="L9" s="1">
        <v>2.6100000000000001E-5</v>
      </c>
      <c r="M9" s="1">
        <v>20</v>
      </c>
      <c r="N9" s="1">
        <v>0.503</v>
      </c>
      <c r="O9" s="1">
        <v>0.497</v>
      </c>
      <c r="P9">
        <v>0</v>
      </c>
      <c r="Q9">
        <v>0</v>
      </c>
      <c r="R9">
        <v>3</v>
      </c>
      <c r="S9" s="1">
        <v>-4.0799999999999999E-6</v>
      </c>
      <c r="T9" s="1">
        <v>3</v>
      </c>
      <c r="U9" s="1">
        <v>0.66700000000000004</v>
      </c>
      <c r="V9" s="1">
        <v>0.59899999999999998</v>
      </c>
      <c r="W9" s="1">
        <v>126</v>
      </c>
      <c r="X9" s="1">
        <v>126</v>
      </c>
      <c r="Y9" s="1">
        <v>-9.5799999999999998E-7</v>
      </c>
      <c r="Z9" s="1">
        <v>1.85</v>
      </c>
      <c r="AA9" s="1">
        <v>0.46</v>
      </c>
      <c r="AB9" s="1">
        <v>0.35499999999999998</v>
      </c>
      <c r="AC9" s="1">
        <v>-2.0400000000000001E-8</v>
      </c>
      <c r="AD9" s="1">
        <v>2.44</v>
      </c>
      <c r="AE9" s="1">
        <v>0.59099999999999997</v>
      </c>
      <c r="AF9" s="1">
        <v>4.5999999999999999E-2</v>
      </c>
      <c r="AG9">
        <v>3</v>
      </c>
      <c r="AH9" s="1">
        <v>7.11E-13</v>
      </c>
      <c r="AI9" s="1">
        <v>-1.36</v>
      </c>
      <c r="AJ9" s="1">
        <v>1.5400000000000001E-6</v>
      </c>
      <c r="AK9" s="1">
        <v>12.1</v>
      </c>
      <c r="AL9" s="1">
        <v>0.91800000000000004</v>
      </c>
      <c r="AM9" s="1">
        <v>0.47799999999999998</v>
      </c>
      <c r="AN9" s="1">
        <v>6.7999999999999995E-7</v>
      </c>
      <c r="AO9" s="1">
        <v>2.92</v>
      </c>
      <c r="AP9" s="1">
        <v>0.65700000000000003</v>
      </c>
      <c r="AQ9" s="1">
        <v>0.35599999999999998</v>
      </c>
      <c r="AR9" s="1">
        <v>6.8900000000000002E-8</v>
      </c>
      <c r="AS9" s="1">
        <v>3.22</v>
      </c>
      <c r="AT9" s="1">
        <v>0.68899999999999995</v>
      </c>
      <c r="AU9" s="1">
        <v>0.16600000000000001</v>
      </c>
    </row>
    <row r="10" spans="1:84" x14ac:dyDescent="0.2">
      <c r="A10">
        <v>7</v>
      </c>
      <c r="B10">
        <v>7</v>
      </c>
      <c r="C10" t="s">
        <v>64</v>
      </c>
      <c r="D10" t="s">
        <v>65</v>
      </c>
      <c r="E10" s="1">
        <v>270</v>
      </c>
      <c r="F10" s="1">
        <v>1000</v>
      </c>
      <c r="G10" s="1">
        <v>0.06</v>
      </c>
      <c r="H10" s="1">
        <v>5.5999999999999995E-4</v>
      </c>
      <c r="I10" s="1">
        <v>894</v>
      </c>
      <c r="J10">
        <v>0.5</v>
      </c>
      <c r="K10">
        <v>1</v>
      </c>
      <c r="L10" s="1">
        <v>2.6100000000000001E-5</v>
      </c>
      <c r="M10" s="1">
        <v>5.6</v>
      </c>
      <c r="N10" s="1">
        <v>0.8</v>
      </c>
      <c r="O10" s="1">
        <v>0.2</v>
      </c>
      <c r="P10">
        <v>0</v>
      </c>
      <c r="Q10">
        <v>0</v>
      </c>
      <c r="R10">
        <v>3</v>
      </c>
      <c r="S10" s="1">
        <v>-2.4600000000000002E-6</v>
      </c>
      <c r="T10" s="1">
        <v>1.5</v>
      </c>
      <c r="U10" s="1">
        <v>0.33300000000000002</v>
      </c>
      <c r="V10" s="1">
        <v>0.05</v>
      </c>
      <c r="W10" s="1">
        <v>894</v>
      </c>
      <c r="X10" s="1">
        <v>894</v>
      </c>
      <c r="Y10" s="1">
        <v>-1.9999999999999999E-6</v>
      </c>
      <c r="Z10" s="1">
        <v>2</v>
      </c>
      <c r="AA10" s="1">
        <v>0.5</v>
      </c>
      <c r="AB10" s="1">
        <v>0.1</v>
      </c>
      <c r="AC10" s="1">
        <v>-2.4700000000000001E-6</v>
      </c>
      <c r="AD10" s="1">
        <v>4.8</v>
      </c>
      <c r="AE10" s="1">
        <v>0.79200000000000004</v>
      </c>
      <c r="AF10" s="1">
        <v>0.85</v>
      </c>
      <c r="AG10">
        <v>4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</row>
    <row r="11" spans="1:84" x14ac:dyDescent="0.2">
      <c r="A11">
        <v>8</v>
      </c>
      <c r="B11">
        <v>8</v>
      </c>
      <c r="C11" t="s">
        <v>66</v>
      </c>
      <c r="D11" t="s">
        <v>67</v>
      </c>
      <c r="E11" s="1">
        <v>1860</v>
      </c>
      <c r="F11" s="1">
        <v>840</v>
      </c>
      <c r="G11" s="1">
        <v>0.87</v>
      </c>
      <c r="H11">
        <v>0</v>
      </c>
      <c r="I11" s="1">
        <v>176</v>
      </c>
      <c r="J11">
        <v>0.6</v>
      </c>
      <c r="K11">
        <v>1</v>
      </c>
      <c r="L11" s="1">
        <v>2.6100000000000001E-5</v>
      </c>
      <c r="M11" s="1">
        <v>25</v>
      </c>
      <c r="N11" s="1">
        <v>0.8</v>
      </c>
      <c r="O11" s="1">
        <v>0.2</v>
      </c>
      <c r="P11">
        <v>0</v>
      </c>
      <c r="Q11">
        <v>0</v>
      </c>
      <c r="R11">
        <v>1</v>
      </c>
      <c r="S11" s="1">
        <v>-6.7999999999999995E-7</v>
      </c>
      <c r="T11" s="1">
        <v>1.35</v>
      </c>
      <c r="U11" s="1">
        <v>0.25900000000000001</v>
      </c>
      <c r="V11" s="1">
        <v>0.65</v>
      </c>
      <c r="W11" s="1">
        <v>176</v>
      </c>
      <c r="X11" s="1">
        <v>176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4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</row>
    <row r="12" spans="1:84" x14ac:dyDescent="0.2">
      <c r="A12">
        <v>9</v>
      </c>
      <c r="B12">
        <v>9</v>
      </c>
      <c r="C12" t="s">
        <v>68</v>
      </c>
      <c r="D12" t="s">
        <v>69</v>
      </c>
      <c r="E12" s="1">
        <v>2200</v>
      </c>
      <c r="F12" s="1">
        <v>840</v>
      </c>
      <c r="G12" s="1">
        <v>0.87</v>
      </c>
      <c r="H12">
        <v>0</v>
      </c>
      <c r="I12" s="1">
        <v>238</v>
      </c>
      <c r="J12">
        <v>0.5</v>
      </c>
      <c r="K12">
        <v>1</v>
      </c>
      <c r="L12" s="1">
        <v>2.6100000000000001E-5</v>
      </c>
      <c r="M12" s="1">
        <v>42.8</v>
      </c>
      <c r="N12" s="1">
        <v>0.503</v>
      </c>
      <c r="O12" s="1">
        <v>0.497</v>
      </c>
      <c r="P12">
        <v>0</v>
      </c>
      <c r="Q12">
        <v>0</v>
      </c>
      <c r="R12">
        <v>3</v>
      </c>
      <c r="S12" s="1">
        <v>-8.0000000000000002E-8</v>
      </c>
      <c r="T12" s="1">
        <v>2.2000000000000002</v>
      </c>
      <c r="U12" s="1">
        <v>0.54500000000000004</v>
      </c>
      <c r="V12" s="1">
        <v>0.1</v>
      </c>
      <c r="W12" s="1">
        <v>238</v>
      </c>
      <c r="X12" s="1">
        <v>238</v>
      </c>
      <c r="Y12" s="1">
        <v>-9.9999999999999995E-7</v>
      </c>
      <c r="Z12" s="1">
        <v>1.6</v>
      </c>
      <c r="AA12" s="1">
        <v>0.375</v>
      </c>
      <c r="AB12" s="1">
        <v>0.6</v>
      </c>
      <c r="AC12" s="1">
        <v>-3.5999999999999998E-6</v>
      </c>
      <c r="AD12" s="1">
        <v>2.4</v>
      </c>
      <c r="AE12" s="1">
        <v>0.58299999999999996</v>
      </c>
      <c r="AF12" s="1">
        <v>0.3</v>
      </c>
      <c r="AG12">
        <v>3</v>
      </c>
      <c r="AH12" s="1">
        <v>3.3999999999999999E-11</v>
      </c>
      <c r="AI12" s="1">
        <v>-0.72099999999999997</v>
      </c>
      <c r="AJ12" s="1">
        <v>3.18E-6</v>
      </c>
      <c r="AK12" s="1">
        <v>5.14</v>
      </c>
      <c r="AL12" s="1">
        <v>0.80500000000000005</v>
      </c>
      <c r="AM12" s="1">
        <v>0.13200000000000001</v>
      </c>
      <c r="AN12" s="1">
        <v>1.3200000000000001E-6</v>
      </c>
      <c r="AO12" s="1">
        <v>2.63</v>
      </c>
      <c r="AP12" s="1">
        <v>0.62</v>
      </c>
      <c r="AQ12" s="1">
        <v>0.503</v>
      </c>
      <c r="AR12" s="1">
        <v>1.15E-7</v>
      </c>
      <c r="AS12" s="1">
        <v>2.15</v>
      </c>
      <c r="AT12" s="1">
        <v>0.53400000000000003</v>
      </c>
      <c r="AU12" s="1">
        <v>0.36499999999999999</v>
      </c>
    </row>
    <row r="13" spans="1:84" x14ac:dyDescent="0.2">
      <c r="A13">
        <v>10</v>
      </c>
      <c r="B13">
        <v>10</v>
      </c>
      <c r="C13" t="s">
        <v>70</v>
      </c>
      <c r="D13" t="s">
        <v>69</v>
      </c>
      <c r="E13" s="1">
        <v>2000</v>
      </c>
      <c r="F13" s="1">
        <v>840</v>
      </c>
      <c r="G13" s="1">
        <v>0.87</v>
      </c>
      <c r="H13">
        <v>0</v>
      </c>
      <c r="I13" s="1">
        <v>200</v>
      </c>
      <c r="J13">
        <v>0.5</v>
      </c>
      <c r="K13">
        <v>1</v>
      </c>
      <c r="L13" s="1">
        <v>2.6100000000000001E-5</v>
      </c>
      <c r="M13" s="1">
        <v>167</v>
      </c>
      <c r="N13" s="1">
        <v>0.503</v>
      </c>
      <c r="O13" s="1">
        <v>0.497</v>
      </c>
      <c r="P13">
        <v>0</v>
      </c>
      <c r="Q13">
        <v>0</v>
      </c>
      <c r="R13">
        <v>3</v>
      </c>
      <c r="S13" s="1">
        <v>-2.0999999999999999E-8</v>
      </c>
      <c r="T13" s="1">
        <v>2.6</v>
      </c>
      <c r="U13" s="1">
        <v>0.61499999999999999</v>
      </c>
      <c r="V13" s="1">
        <v>0.376</v>
      </c>
      <c r="W13" s="1">
        <v>200</v>
      </c>
      <c r="X13" s="1">
        <v>200</v>
      </c>
      <c r="Y13" s="1">
        <v>-2.2999999999999999E-7</v>
      </c>
      <c r="Z13" s="1">
        <v>3.1</v>
      </c>
      <c r="AA13" s="1">
        <v>0.67700000000000005</v>
      </c>
      <c r="AB13" s="1">
        <v>0.44</v>
      </c>
      <c r="AC13" s="1">
        <v>-2.9000000000000002E-6</v>
      </c>
      <c r="AD13" s="1">
        <v>2</v>
      </c>
      <c r="AE13" s="1">
        <v>0.5</v>
      </c>
      <c r="AF13" s="1">
        <v>0.184</v>
      </c>
      <c r="AG13">
        <v>3</v>
      </c>
      <c r="AH13" s="1">
        <v>6.9799999999999994E-11</v>
      </c>
      <c r="AI13" s="1">
        <v>-1.02</v>
      </c>
      <c r="AJ13" s="1">
        <v>3.8800000000000001E-6</v>
      </c>
      <c r="AK13" s="1">
        <v>3.28</v>
      </c>
      <c r="AL13" s="1">
        <v>0.69499999999999995</v>
      </c>
      <c r="AM13" s="1">
        <v>0.58799999999999997</v>
      </c>
      <c r="AN13" s="1">
        <v>2.9799999999999999E-7</v>
      </c>
      <c r="AO13" s="1">
        <v>5.07</v>
      </c>
      <c r="AP13" s="1">
        <v>0.80300000000000005</v>
      </c>
      <c r="AQ13" s="1">
        <v>0.39400000000000002</v>
      </c>
      <c r="AR13" s="1">
        <v>1.4300000000000001E-8</v>
      </c>
      <c r="AS13" s="1">
        <v>3.47</v>
      </c>
      <c r="AT13" s="1">
        <v>0.71099999999999997</v>
      </c>
      <c r="AU13" s="1">
        <v>1.7999999999999999E-2</v>
      </c>
    </row>
    <row r="14" spans="1:84" x14ac:dyDescent="0.2">
      <c r="A14">
        <v>11</v>
      </c>
      <c r="B14">
        <v>11</v>
      </c>
      <c r="C14" t="s">
        <v>71</v>
      </c>
      <c r="D14" t="s">
        <v>72</v>
      </c>
      <c r="E14" s="1">
        <v>300</v>
      </c>
      <c r="F14" s="1">
        <v>1880</v>
      </c>
      <c r="G14" s="1">
        <v>5.5E-2</v>
      </c>
      <c r="H14">
        <v>0</v>
      </c>
      <c r="I14" s="1">
        <v>150</v>
      </c>
      <c r="J14">
        <v>0.5</v>
      </c>
      <c r="K14">
        <v>3</v>
      </c>
      <c r="L14" s="1">
        <v>2.3099999999999999E-5</v>
      </c>
      <c r="M14" s="1">
        <v>273</v>
      </c>
      <c r="N14" s="1">
        <v>1.81</v>
      </c>
      <c r="O14" s="1">
        <v>7.4999999999999997E-2</v>
      </c>
      <c r="P14" s="1">
        <v>2.1800000000000001E-3</v>
      </c>
      <c r="Q14" s="1">
        <v>5</v>
      </c>
      <c r="R14">
        <v>1</v>
      </c>
      <c r="S14" s="1">
        <v>-6.6700000000000003E-7</v>
      </c>
      <c r="T14" s="1">
        <v>1.42</v>
      </c>
      <c r="U14" s="1">
        <v>0.29399999999999998</v>
      </c>
      <c r="V14" s="1">
        <v>1</v>
      </c>
      <c r="W14" s="1">
        <v>150</v>
      </c>
      <c r="X14" s="1">
        <v>150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1</v>
      </c>
      <c r="AH14">
        <v>-50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</row>
    <row r="15" spans="1:84" x14ac:dyDescent="0.2">
      <c r="A15">
        <v>12</v>
      </c>
      <c r="B15">
        <v>12</v>
      </c>
      <c r="C15" t="s">
        <v>73</v>
      </c>
      <c r="D15" t="s">
        <v>72</v>
      </c>
      <c r="E15" s="1">
        <v>500</v>
      </c>
      <c r="F15" s="1">
        <v>1880</v>
      </c>
      <c r="G15" s="1">
        <v>0.1</v>
      </c>
      <c r="H15">
        <v>0</v>
      </c>
      <c r="I15" s="1">
        <v>200</v>
      </c>
      <c r="J15">
        <v>0.5</v>
      </c>
      <c r="K15">
        <v>3</v>
      </c>
      <c r="L15" s="1">
        <v>2.3099999999999999E-5</v>
      </c>
      <c r="M15" s="1">
        <v>273</v>
      </c>
      <c r="N15" s="1">
        <v>1.81</v>
      </c>
      <c r="O15" s="1">
        <v>5.0000000000000001E-3</v>
      </c>
      <c r="P15" s="1">
        <v>3.3699999999999999E-6</v>
      </c>
      <c r="Q15" s="1">
        <v>10.8</v>
      </c>
      <c r="R15">
        <v>1</v>
      </c>
      <c r="S15" s="1">
        <v>-5.8800000000000002E-7</v>
      </c>
      <c r="T15" s="1">
        <v>1.34</v>
      </c>
      <c r="U15" s="1">
        <v>0.252</v>
      </c>
      <c r="V15" s="1">
        <v>1</v>
      </c>
      <c r="W15" s="1">
        <v>200</v>
      </c>
      <c r="X15" s="1">
        <v>200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1</v>
      </c>
      <c r="AH15">
        <v>-50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</row>
    <row r="16" spans="1:84" x14ac:dyDescent="0.2">
      <c r="A16">
        <v>13</v>
      </c>
      <c r="B16">
        <v>13</v>
      </c>
      <c r="C16" t="s">
        <v>74</v>
      </c>
      <c r="D16" t="s">
        <v>75</v>
      </c>
      <c r="E16" s="1">
        <v>990</v>
      </c>
      <c r="F16" s="1">
        <v>0</v>
      </c>
      <c r="G16" s="1">
        <v>0</v>
      </c>
      <c r="H16">
        <v>0</v>
      </c>
      <c r="I16" s="1">
        <v>30.3</v>
      </c>
      <c r="J16">
        <v>0.5</v>
      </c>
      <c r="K16">
        <v>2</v>
      </c>
      <c r="L16" s="1">
        <v>2.3099999999999999E-5</v>
      </c>
      <c r="M16" s="1">
        <v>273</v>
      </c>
      <c r="N16" s="1">
        <v>1.81</v>
      </c>
      <c r="O16" s="1">
        <v>4.24</v>
      </c>
      <c r="P16">
        <v>0</v>
      </c>
      <c r="Q16">
        <v>0</v>
      </c>
      <c r="R16">
        <v>1</v>
      </c>
      <c r="S16" s="1">
        <v>-5.0699999999999997E-7</v>
      </c>
      <c r="T16" s="1">
        <v>1.8</v>
      </c>
      <c r="U16" s="1">
        <v>0.44400000000000001</v>
      </c>
      <c r="V16" s="1">
        <v>1</v>
      </c>
      <c r="W16" s="1">
        <v>30.4</v>
      </c>
      <c r="X16" s="1">
        <v>30.4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1</v>
      </c>
      <c r="AH16">
        <v>-50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</row>
    <row r="17" spans="1:47" x14ac:dyDescent="0.2">
      <c r="A17">
        <v>14</v>
      </c>
      <c r="B17">
        <v>14</v>
      </c>
      <c r="C17" t="s">
        <v>76</v>
      </c>
      <c r="D17" t="s">
        <v>77</v>
      </c>
      <c r="E17" s="1">
        <v>65</v>
      </c>
      <c r="F17" s="1">
        <v>1380</v>
      </c>
      <c r="G17" s="1">
        <v>0.04</v>
      </c>
      <c r="H17">
        <v>0</v>
      </c>
      <c r="I17" s="1">
        <v>23.4</v>
      </c>
      <c r="J17">
        <v>0.5</v>
      </c>
      <c r="K17">
        <v>2</v>
      </c>
      <c r="L17" s="1">
        <v>2.3099999999999999E-5</v>
      </c>
      <c r="M17" s="1">
        <v>273</v>
      </c>
      <c r="N17" s="1">
        <v>1.81</v>
      </c>
      <c r="O17" s="1">
        <v>1.77</v>
      </c>
      <c r="P17">
        <v>0</v>
      </c>
      <c r="Q17">
        <v>0</v>
      </c>
      <c r="R17">
        <v>1</v>
      </c>
      <c r="S17" s="1">
        <v>-1.66E-7</v>
      </c>
      <c r="T17" s="1">
        <v>1.58</v>
      </c>
      <c r="U17" s="1">
        <v>0.36499999999999999</v>
      </c>
      <c r="V17" s="1">
        <v>1</v>
      </c>
      <c r="W17" s="1">
        <v>23.5</v>
      </c>
      <c r="X17" s="1">
        <v>23.5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1</v>
      </c>
      <c r="AH17">
        <v>-50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</row>
    <row r="18" spans="1:47" x14ac:dyDescent="0.2">
      <c r="A18">
        <v>15</v>
      </c>
      <c r="B18">
        <v>15</v>
      </c>
      <c r="C18" t="s">
        <v>78</v>
      </c>
      <c r="D18" t="s">
        <v>77</v>
      </c>
      <c r="E18" s="1">
        <v>100</v>
      </c>
      <c r="F18" s="1">
        <v>1000</v>
      </c>
      <c r="G18" s="1">
        <v>0.05</v>
      </c>
      <c r="H18">
        <v>0</v>
      </c>
      <c r="I18" s="1">
        <v>19.8</v>
      </c>
      <c r="J18">
        <v>0.5</v>
      </c>
      <c r="K18">
        <v>2</v>
      </c>
      <c r="L18" s="1">
        <v>2.3099999999999999E-5</v>
      </c>
      <c r="M18" s="1">
        <v>273</v>
      </c>
      <c r="N18" s="1">
        <v>1.81</v>
      </c>
      <c r="O18" s="1">
        <v>1.89</v>
      </c>
      <c r="P18">
        <v>0</v>
      </c>
      <c r="Q18">
        <v>0</v>
      </c>
      <c r="R18">
        <v>1</v>
      </c>
      <c r="S18" s="1">
        <v>-5.49E-6</v>
      </c>
      <c r="T18" s="1">
        <v>1.85</v>
      </c>
      <c r="U18" s="1">
        <v>0.45900000000000002</v>
      </c>
      <c r="V18" s="1">
        <v>1</v>
      </c>
      <c r="W18" s="1">
        <v>19.8</v>
      </c>
      <c r="X18" s="1">
        <v>19.8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1</v>
      </c>
      <c r="AH18">
        <v>-50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</row>
    <row r="19" spans="1:47" x14ac:dyDescent="0.2">
      <c r="A19">
        <v>16</v>
      </c>
      <c r="B19">
        <v>16</v>
      </c>
      <c r="C19" t="s">
        <v>79</v>
      </c>
      <c r="D19" t="s">
        <v>77</v>
      </c>
      <c r="E19" s="1">
        <v>450</v>
      </c>
      <c r="F19" s="1">
        <v>900</v>
      </c>
      <c r="G19" s="1">
        <v>0.11</v>
      </c>
      <c r="H19">
        <v>0</v>
      </c>
      <c r="I19" s="1">
        <v>258</v>
      </c>
      <c r="J19">
        <v>0.5</v>
      </c>
      <c r="K19">
        <v>3</v>
      </c>
      <c r="L19" s="1">
        <v>2.3099999999999999E-5</v>
      </c>
      <c r="M19" s="1">
        <v>273</v>
      </c>
      <c r="N19" s="1">
        <v>1.81</v>
      </c>
      <c r="O19" s="1">
        <v>0.1</v>
      </c>
      <c r="P19" s="1">
        <v>1.47E-4</v>
      </c>
      <c r="Q19" s="1">
        <v>5.15</v>
      </c>
      <c r="R19">
        <v>1</v>
      </c>
      <c r="S19" s="1">
        <v>-1.5200000000000001E-3</v>
      </c>
      <c r="T19" s="1">
        <v>1.32</v>
      </c>
      <c r="U19" s="1">
        <v>0.24099999999999999</v>
      </c>
      <c r="V19" s="1">
        <v>1</v>
      </c>
      <c r="W19" s="1">
        <v>258</v>
      </c>
      <c r="X19" s="1">
        <v>258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1</v>
      </c>
      <c r="AH19">
        <v>-50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</row>
    <row r="20" spans="1:47" x14ac:dyDescent="0.2">
      <c r="A20">
        <v>17</v>
      </c>
      <c r="B20">
        <v>17</v>
      </c>
      <c r="C20" t="s">
        <v>80</v>
      </c>
      <c r="D20" t="s">
        <v>77</v>
      </c>
      <c r="E20" s="1">
        <v>30</v>
      </c>
      <c r="F20" s="1">
        <v>1380</v>
      </c>
      <c r="G20" s="1">
        <v>0.04</v>
      </c>
      <c r="H20">
        <v>0</v>
      </c>
      <c r="I20" s="1">
        <v>370</v>
      </c>
      <c r="J20">
        <v>0.5</v>
      </c>
      <c r="K20">
        <v>2</v>
      </c>
      <c r="L20" s="1">
        <v>2.3099999999999999E-5</v>
      </c>
      <c r="M20" s="1">
        <v>273</v>
      </c>
      <c r="N20" s="1">
        <v>1.81</v>
      </c>
      <c r="O20" s="1">
        <v>1.3</v>
      </c>
      <c r="P20">
        <v>0</v>
      </c>
      <c r="Q20">
        <v>0</v>
      </c>
      <c r="R20">
        <v>1</v>
      </c>
      <c r="S20" s="1">
        <v>-4.5800000000000002E-6</v>
      </c>
      <c r="T20" s="1">
        <v>1.95</v>
      </c>
      <c r="U20" s="1">
        <v>0.48699999999999999</v>
      </c>
      <c r="V20" s="1">
        <v>1</v>
      </c>
      <c r="W20" s="1">
        <v>370</v>
      </c>
      <c r="X20" s="1">
        <v>370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1</v>
      </c>
      <c r="AH20">
        <v>-50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</row>
    <row r="21" spans="1:47" x14ac:dyDescent="0.2">
      <c r="A21">
        <v>18</v>
      </c>
      <c r="B21">
        <v>51</v>
      </c>
      <c r="C21" t="s">
        <v>57</v>
      </c>
      <c r="D21" t="s">
        <v>81</v>
      </c>
      <c r="E21">
        <v>-1</v>
      </c>
      <c r="F21">
        <v>-1</v>
      </c>
      <c r="G21">
        <v>-1</v>
      </c>
      <c r="H21">
        <v>0</v>
      </c>
      <c r="I21" s="1">
        <v>164</v>
      </c>
      <c r="J21">
        <v>0.5</v>
      </c>
      <c r="K21">
        <v>4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-1</v>
      </c>
      <c r="S21" s="1">
        <v>-7.3300000000000001E-6</v>
      </c>
      <c r="T21" s="1">
        <v>1.55</v>
      </c>
      <c r="U21" s="1">
        <v>0.35299999999999998</v>
      </c>
      <c r="V21" s="1">
        <v>0.128</v>
      </c>
      <c r="W21" s="1">
        <v>164</v>
      </c>
      <c r="X21" s="1">
        <v>164</v>
      </c>
      <c r="Y21" s="1">
        <v>-2.9300000000000001E-5</v>
      </c>
      <c r="Z21" s="1">
        <v>2.2999999999999998</v>
      </c>
      <c r="AA21" s="1">
        <v>0.56499999999999995</v>
      </c>
      <c r="AB21" s="1">
        <v>0.872</v>
      </c>
      <c r="AC21">
        <v>0</v>
      </c>
      <c r="AD21">
        <v>0</v>
      </c>
      <c r="AE21">
        <v>0</v>
      </c>
      <c r="AF21">
        <v>0</v>
      </c>
      <c r="AG21">
        <v>4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</row>
    <row r="22" spans="1:47" x14ac:dyDescent="0.2">
      <c r="A22">
        <v>19</v>
      </c>
      <c r="B22">
        <v>52</v>
      </c>
      <c r="C22" t="s">
        <v>64</v>
      </c>
      <c r="D22" t="s">
        <v>81</v>
      </c>
      <c r="E22">
        <v>-1</v>
      </c>
      <c r="F22">
        <v>-1</v>
      </c>
      <c r="G22">
        <v>-1</v>
      </c>
      <c r="H22">
        <v>0</v>
      </c>
      <c r="I22" s="1">
        <v>228</v>
      </c>
      <c r="J22">
        <v>0.5</v>
      </c>
      <c r="K22">
        <v>4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-1</v>
      </c>
      <c r="S22" s="1">
        <v>-4.5299999999999999E-7</v>
      </c>
      <c r="T22" s="1">
        <v>1.81</v>
      </c>
      <c r="U22" s="1">
        <v>0.44800000000000001</v>
      </c>
      <c r="V22" s="1">
        <v>0.75</v>
      </c>
      <c r="W22" s="1">
        <v>228</v>
      </c>
      <c r="X22" s="1">
        <v>228</v>
      </c>
      <c r="Y22" s="1">
        <v>-1.06E-5</v>
      </c>
      <c r="Z22" s="1">
        <v>1.97</v>
      </c>
      <c r="AA22" s="1">
        <v>0.49099999999999999</v>
      </c>
      <c r="AB22" s="1">
        <v>0.25</v>
      </c>
      <c r="AC22">
        <v>0</v>
      </c>
      <c r="AD22">
        <v>0</v>
      </c>
      <c r="AE22">
        <v>0</v>
      </c>
      <c r="AF22">
        <v>0</v>
      </c>
      <c r="AG22">
        <v>4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</row>
    <row r="23" spans="1:47" x14ac:dyDescent="0.2">
      <c r="A23">
        <v>20</v>
      </c>
      <c r="B23">
        <v>53</v>
      </c>
      <c r="C23" t="s">
        <v>82</v>
      </c>
      <c r="D23" t="s">
        <v>83</v>
      </c>
      <c r="E23" s="1">
        <v>494</v>
      </c>
      <c r="F23" s="1">
        <v>1880</v>
      </c>
      <c r="G23" s="1">
        <v>0.5</v>
      </c>
      <c r="H23">
        <v>0</v>
      </c>
      <c r="I23" s="1">
        <v>123</v>
      </c>
      <c r="J23">
        <v>0.5</v>
      </c>
      <c r="K23">
        <v>4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-1</v>
      </c>
      <c r="S23">
        <v>-1</v>
      </c>
      <c r="T23">
        <v>-1</v>
      </c>
      <c r="U23">
        <v>-1</v>
      </c>
      <c r="V23">
        <v>-1</v>
      </c>
      <c r="W23">
        <v>-1</v>
      </c>
      <c r="X23">
        <v>-1</v>
      </c>
      <c r="Y23">
        <v>-1</v>
      </c>
      <c r="Z23">
        <v>-1</v>
      </c>
      <c r="AA23">
        <v>-1</v>
      </c>
      <c r="AB23">
        <v>-1</v>
      </c>
      <c r="AC23">
        <v>-1</v>
      </c>
      <c r="AD23">
        <v>-1</v>
      </c>
      <c r="AE23">
        <v>-1</v>
      </c>
      <c r="AF23">
        <v>-1</v>
      </c>
      <c r="AG23">
        <v>1</v>
      </c>
      <c r="AH23">
        <v>-50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</row>
    <row r="24" spans="1:47" x14ac:dyDescent="0.2">
      <c r="A24">
        <v>21</v>
      </c>
      <c r="B24">
        <v>54</v>
      </c>
      <c r="C24" t="s">
        <v>84</v>
      </c>
      <c r="D24" t="s">
        <v>83</v>
      </c>
      <c r="E24" s="1">
        <v>494</v>
      </c>
      <c r="F24" s="1">
        <v>900</v>
      </c>
      <c r="G24" s="1">
        <v>0.5</v>
      </c>
      <c r="H24">
        <v>0</v>
      </c>
      <c r="I24" s="1">
        <v>572</v>
      </c>
      <c r="J24">
        <v>0.5</v>
      </c>
      <c r="K24">
        <v>2</v>
      </c>
      <c r="L24" s="1">
        <v>2.3099999999999999E-5</v>
      </c>
      <c r="M24" s="1">
        <v>273</v>
      </c>
      <c r="N24" s="1">
        <v>1.81</v>
      </c>
      <c r="O24" s="1">
        <v>2.6</v>
      </c>
      <c r="P24">
        <v>0</v>
      </c>
      <c r="Q24">
        <v>0</v>
      </c>
      <c r="R24">
        <v>2</v>
      </c>
      <c r="S24" s="1">
        <v>-8.0999999999999997E-8</v>
      </c>
      <c r="T24" s="1">
        <v>1.6</v>
      </c>
      <c r="U24" s="1">
        <v>0.375</v>
      </c>
      <c r="V24" s="1">
        <v>0.26</v>
      </c>
      <c r="W24" s="1">
        <v>572</v>
      </c>
      <c r="X24" s="1">
        <v>572</v>
      </c>
      <c r="Y24" s="1">
        <v>-4.9999999999999998E-7</v>
      </c>
      <c r="Z24" s="1">
        <v>6</v>
      </c>
      <c r="AA24" s="1">
        <v>0.83299999999999996</v>
      </c>
      <c r="AB24" s="1">
        <v>0.74</v>
      </c>
      <c r="AC24">
        <v>0</v>
      </c>
      <c r="AD24">
        <v>0</v>
      </c>
      <c r="AE24">
        <v>0</v>
      </c>
      <c r="AF24">
        <v>0</v>
      </c>
      <c r="AG24">
        <v>1</v>
      </c>
      <c r="AH24">
        <v>-50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</row>
    <row r="25" spans="1:47" x14ac:dyDescent="0.2">
      <c r="A25">
        <v>22</v>
      </c>
      <c r="B25">
        <v>55</v>
      </c>
      <c r="C25" t="s">
        <v>85</v>
      </c>
      <c r="D25" t="s">
        <v>83</v>
      </c>
      <c r="E25" s="1">
        <v>494</v>
      </c>
      <c r="F25" s="1">
        <v>1880</v>
      </c>
      <c r="G25" s="1">
        <v>0.5</v>
      </c>
      <c r="H25">
        <v>0</v>
      </c>
      <c r="I25" s="1">
        <v>385</v>
      </c>
      <c r="J25">
        <v>0.5</v>
      </c>
      <c r="K25">
        <v>2</v>
      </c>
      <c r="L25" s="1">
        <v>2.3099999999999999E-5</v>
      </c>
      <c r="M25" s="1">
        <v>273</v>
      </c>
      <c r="N25" s="1">
        <v>1.81</v>
      </c>
      <c r="O25" s="1">
        <v>29</v>
      </c>
      <c r="P25">
        <v>0</v>
      </c>
      <c r="Q25">
        <v>0</v>
      </c>
      <c r="R25">
        <v>2</v>
      </c>
      <c r="S25" s="1">
        <v>-8.0999999999999997E-8</v>
      </c>
      <c r="T25" s="1">
        <v>1.6</v>
      </c>
      <c r="U25" s="1">
        <v>0.375</v>
      </c>
      <c r="V25" s="1">
        <v>0.38</v>
      </c>
      <c r="W25" s="1">
        <v>385</v>
      </c>
      <c r="X25" s="1">
        <v>385</v>
      </c>
      <c r="Y25" s="1">
        <v>-4.9999999999999998E-7</v>
      </c>
      <c r="Z25" s="1">
        <v>6</v>
      </c>
      <c r="AA25" s="1">
        <v>0.83299999999999996</v>
      </c>
      <c r="AB25" s="1">
        <v>0.62</v>
      </c>
      <c r="AC25">
        <v>0</v>
      </c>
      <c r="AD25">
        <v>0</v>
      </c>
      <c r="AE25">
        <v>0</v>
      </c>
      <c r="AF25">
        <v>0</v>
      </c>
      <c r="AG25">
        <v>1</v>
      </c>
      <c r="AH25">
        <v>-50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</row>
    <row r="26" spans="1:47" x14ac:dyDescent="0.2">
      <c r="A26">
        <v>23</v>
      </c>
      <c r="B26">
        <v>11</v>
      </c>
      <c r="C26" t="s">
        <v>86</v>
      </c>
      <c r="D26" t="s">
        <v>87</v>
      </c>
      <c r="E26" s="1">
        <v>530</v>
      </c>
      <c r="F26" s="1">
        <v>900</v>
      </c>
      <c r="G26" s="1">
        <v>0.14000000000000001</v>
      </c>
      <c r="H26">
        <v>0</v>
      </c>
      <c r="I26" s="1">
        <v>150</v>
      </c>
      <c r="J26">
        <v>0.5</v>
      </c>
      <c r="K26">
        <v>3</v>
      </c>
      <c r="L26" s="1">
        <v>2.3099999999999999E-5</v>
      </c>
      <c r="M26" s="1">
        <v>273</v>
      </c>
      <c r="N26" s="1">
        <v>1.81</v>
      </c>
      <c r="O26" s="1">
        <v>7.4999999999999997E-2</v>
      </c>
      <c r="P26" s="1">
        <v>2.1800000000000001E-3</v>
      </c>
      <c r="Q26" s="1">
        <v>5</v>
      </c>
      <c r="R26">
        <v>1</v>
      </c>
      <c r="S26" s="1">
        <v>-6.6700000000000003E-7</v>
      </c>
      <c r="T26" s="1">
        <v>1.42</v>
      </c>
      <c r="U26" s="1">
        <v>0.29399999999999998</v>
      </c>
      <c r="V26" s="1">
        <v>1</v>
      </c>
      <c r="W26" s="1">
        <v>150</v>
      </c>
      <c r="X26" s="1">
        <v>150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1</v>
      </c>
      <c r="AH26">
        <v>-50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</row>
    <row r="27" spans="1:47" x14ac:dyDescent="0.2">
      <c r="A27">
        <v>24</v>
      </c>
      <c r="B27">
        <v>14</v>
      </c>
      <c r="C27" t="s">
        <v>88</v>
      </c>
      <c r="D27" t="s">
        <v>87</v>
      </c>
      <c r="E27" s="1">
        <v>12</v>
      </c>
      <c r="F27" s="1">
        <v>840</v>
      </c>
      <c r="G27" s="1">
        <v>0.04</v>
      </c>
      <c r="H27">
        <v>0</v>
      </c>
      <c r="I27" s="1">
        <v>23.4</v>
      </c>
      <c r="J27">
        <v>0.5</v>
      </c>
      <c r="K27">
        <v>2</v>
      </c>
      <c r="L27" s="1">
        <v>2.3099999999999999E-5</v>
      </c>
      <c r="M27" s="1">
        <v>273</v>
      </c>
      <c r="N27" s="1">
        <v>1.81</v>
      </c>
      <c r="O27" s="1">
        <v>1.77</v>
      </c>
      <c r="P27">
        <v>0</v>
      </c>
      <c r="Q27">
        <v>0</v>
      </c>
      <c r="R27">
        <v>1</v>
      </c>
      <c r="S27" s="1">
        <v>-1.66E-7</v>
      </c>
      <c r="T27" s="1">
        <v>1.58</v>
      </c>
      <c r="U27" s="1">
        <v>0.36499999999999999</v>
      </c>
      <c r="V27" s="1">
        <v>1</v>
      </c>
      <c r="W27" s="1">
        <v>23.5</v>
      </c>
      <c r="X27" s="1">
        <v>23.5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1</v>
      </c>
      <c r="AH27">
        <v>-50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</row>
    <row r="28" spans="1:47" x14ac:dyDescent="0.2">
      <c r="A28">
        <v>25</v>
      </c>
      <c r="B28">
        <v>4</v>
      </c>
      <c r="C28" t="s">
        <v>89</v>
      </c>
      <c r="D28" t="s">
        <v>87</v>
      </c>
      <c r="E28" s="1">
        <v>950</v>
      </c>
      <c r="F28" s="1">
        <v>840</v>
      </c>
      <c r="G28" s="1">
        <v>0.16</v>
      </c>
      <c r="H28" s="1">
        <v>4.4999999999999997E-3</v>
      </c>
      <c r="I28" s="1">
        <v>209</v>
      </c>
      <c r="J28">
        <v>0.5</v>
      </c>
      <c r="K28">
        <v>1</v>
      </c>
      <c r="L28" s="1">
        <v>2.6100000000000001E-5</v>
      </c>
      <c r="M28" s="1">
        <v>3</v>
      </c>
      <c r="N28" s="1">
        <v>0.503</v>
      </c>
      <c r="O28" s="1">
        <v>0.497</v>
      </c>
      <c r="P28">
        <v>0</v>
      </c>
      <c r="Q28">
        <v>0</v>
      </c>
      <c r="R28">
        <v>1</v>
      </c>
      <c r="S28" s="1">
        <v>-1.9999999999999999E-6</v>
      </c>
      <c r="T28" s="1">
        <v>1.27</v>
      </c>
      <c r="U28" s="1">
        <v>0.21299999999999999</v>
      </c>
      <c r="V28" s="1">
        <v>209</v>
      </c>
      <c r="W28" s="1">
        <v>1</v>
      </c>
      <c r="X28" s="1">
        <v>1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2</v>
      </c>
      <c r="AH28" s="1">
        <v>-120</v>
      </c>
      <c r="AI28" s="1">
        <v>-33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</row>
    <row r="29" spans="1:47" x14ac:dyDescent="0.2">
      <c r="A29">
        <v>26</v>
      </c>
      <c r="B29">
        <v>1</v>
      </c>
      <c r="C29" t="s">
        <v>90</v>
      </c>
      <c r="D29" t="s">
        <v>87</v>
      </c>
      <c r="E29" s="1">
        <v>1400</v>
      </c>
      <c r="F29" s="1">
        <v>1000</v>
      </c>
      <c r="G29" s="1">
        <v>0.51</v>
      </c>
      <c r="H29" s="1">
        <v>1.5800000000000002E-2</v>
      </c>
      <c r="I29" s="1">
        <v>146</v>
      </c>
      <c r="J29">
        <v>0.5</v>
      </c>
      <c r="K29">
        <v>1</v>
      </c>
      <c r="L29" s="1">
        <v>2.6100000000000001E-5</v>
      </c>
      <c r="M29" s="1">
        <v>200</v>
      </c>
      <c r="N29" s="1">
        <v>0.503</v>
      </c>
      <c r="O29" s="1">
        <v>0.497</v>
      </c>
      <c r="P29">
        <v>0</v>
      </c>
      <c r="Q29">
        <v>0</v>
      </c>
      <c r="R29">
        <v>1</v>
      </c>
      <c r="S29" s="1">
        <v>-8.0000000000000002E-8</v>
      </c>
      <c r="T29" s="1">
        <v>1.6</v>
      </c>
      <c r="U29" s="1">
        <v>0.375</v>
      </c>
      <c r="V29" s="1">
        <v>1</v>
      </c>
      <c r="W29" s="1">
        <v>146</v>
      </c>
      <c r="X29" s="1">
        <v>146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2</v>
      </c>
      <c r="AH29" s="1">
        <v>-73</v>
      </c>
      <c r="AI29" s="1">
        <v>-39.299999999999997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</row>
    <row r="30" spans="1:47" x14ac:dyDescent="0.2">
      <c r="A30">
        <v>27</v>
      </c>
      <c r="B30">
        <v>14</v>
      </c>
      <c r="C30" t="s">
        <v>91</v>
      </c>
      <c r="D30" t="s">
        <v>87</v>
      </c>
      <c r="E30" s="1">
        <v>10</v>
      </c>
      <c r="F30" s="1">
        <v>1400</v>
      </c>
      <c r="G30" s="1">
        <v>0.04</v>
      </c>
      <c r="H30">
        <v>0</v>
      </c>
      <c r="I30" s="1">
        <v>23.4</v>
      </c>
      <c r="J30">
        <v>0.5</v>
      </c>
      <c r="K30">
        <v>2</v>
      </c>
      <c r="L30" s="1">
        <v>2.3099999999999999E-5</v>
      </c>
      <c r="M30" s="1">
        <v>273</v>
      </c>
      <c r="N30" s="1">
        <v>1.81</v>
      </c>
      <c r="O30" s="1">
        <v>1.77</v>
      </c>
      <c r="P30">
        <v>0</v>
      </c>
      <c r="Q30">
        <v>0</v>
      </c>
      <c r="R30">
        <v>1</v>
      </c>
      <c r="S30" s="1">
        <v>-1.66E-7</v>
      </c>
      <c r="T30" s="1">
        <v>1.58</v>
      </c>
      <c r="U30" s="1">
        <v>0.36499999999999999</v>
      </c>
      <c r="V30" s="1">
        <v>1</v>
      </c>
      <c r="W30" s="1">
        <v>23.5</v>
      </c>
      <c r="X30" s="1">
        <v>23.5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1</v>
      </c>
      <c r="AH30">
        <v>-25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</row>
    <row r="31" spans="1:47" x14ac:dyDescent="0.2">
      <c r="A31">
        <v>28</v>
      </c>
      <c r="B31">
        <v>11</v>
      </c>
      <c r="C31" s="61" t="s">
        <v>92</v>
      </c>
      <c r="D31" t="s">
        <v>87</v>
      </c>
      <c r="E31" s="1">
        <v>650</v>
      </c>
      <c r="F31" s="1">
        <v>1200</v>
      </c>
      <c r="G31" s="1">
        <v>0.14000000000000001</v>
      </c>
      <c r="H31">
        <v>0</v>
      </c>
      <c r="I31" s="1">
        <v>150</v>
      </c>
      <c r="J31">
        <v>0.5</v>
      </c>
      <c r="K31">
        <v>3</v>
      </c>
      <c r="L31" s="1">
        <v>2.3099999999999999E-5</v>
      </c>
      <c r="M31" s="1">
        <v>273</v>
      </c>
      <c r="N31" s="1">
        <v>1.81</v>
      </c>
      <c r="O31" s="1">
        <v>7.4999999999999997E-2</v>
      </c>
      <c r="P31" s="1">
        <v>2.1800000000000001E-3</v>
      </c>
      <c r="Q31" s="1">
        <v>5</v>
      </c>
      <c r="R31">
        <v>1</v>
      </c>
      <c r="S31" s="1">
        <v>-6.6700000000000003E-7</v>
      </c>
      <c r="T31" s="1">
        <v>1.42</v>
      </c>
      <c r="U31" s="1">
        <v>0.29399999999999998</v>
      </c>
      <c r="V31" s="1">
        <v>1</v>
      </c>
      <c r="W31" s="1">
        <v>150</v>
      </c>
      <c r="X31" s="1">
        <v>150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1</v>
      </c>
      <c r="AH31">
        <v>-25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</row>
    <row r="32" spans="1:47" x14ac:dyDescent="0.2">
      <c r="A32">
        <v>29</v>
      </c>
      <c r="B32">
        <v>0</v>
      </c>
      <c r="C32" s="61" t="s">
        <v>162</v>
      </c>
      <c r="D32" t="s">
        <v>156</v>
      </c>
      <c r="E32" s="1">
        <v>530</v>
      </c>
      <c r="F32" s="1">
        <v>900</v>
      </c>
      <c r="G32" s="1">
        <v>0.14000000000000001</v>
      </c>
      <c r="H32" s="29">
        <v>4.0000000000000002E-4</v>
      </c>
      <c r="I32" s="1">
        <v>126.4</v>
      </c>
      <c r="J32">
        <v>0.5</v>
      </c>
      <c r="K32">
        <v>5</v>
      </c>
      <c r="L32" s="1">
        <v>-2.8370000000000001E-4</v>
      </c>
      <c r="M32" s="1">
        <v>-9.2560000000000001E-13</v>
      </c>
      <c r="N32" s="1">
        <v>-22490000</v>
      </c>
      <c r="O32" s="1">
        <v>-217614192.4095009</v>
      </c>
      <c r="P32" s="1">
        <v>-6935433.015423419</v>
      </c>
      <c r="Q32">
        <v>0</v>
      </c>
      <c r="R32">
        <v>1</v>
      </c>
      <c r="S32" s="1">
        <v>-8.0000000000000002E-8</v>
      </c>
      <c r="T32" s="1">
        <v>1</v>
      </c>
      <c r="U32" s="1">
        <v>0.58099999999999996</v>
      </c>
      <c r="V32" s="1">
        <v>1</v>
      </c>
      <c r="W32" s="1">
        <v>126.4</v>
      </c>
      <c r="X32" s="1">
        <v>126.4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1</v>
      </c>
      <c r="AH32">
        <v>-25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</row>
    <row r="33" spans="1:47" x14ac:dyDescent="0.2">
      <c r="A33">
        <v>30</v>
      </c>
      <c r="B33">
        <v>0</v>
      </c>
      <c r="C33" t="s">
        <v>163</v>
      </c>
      <c r="D33" t="s">
        <v>157</v>
      </c>
      <c r="E33" s="1">
        <v>55</v>
      </c>
      <c r="F33" s="1">
        <v>1880</v>
      </c>
      <c r="G33" s="1">
        <v>0.04</v>
      </c>
      <c r="H33" s="29">
        <v>1.4E-3</v>
      </c>
      <c r="I33" s="1">
        <v>23.628</v>
      </c>
      <c r="J33">
        <v>0.5</v>
      </c>
      <c r="K33">
        <v>4</v>
      </c>
      <c r="L33" s="1">
        <v>1.2E-10</v>
      </c>
      <c r="M33">
        <v>0</v>
      </c>
      <c r="N33">
        <v>0</v>
      </c>
      <c r="O33">
        <v>0</v>
      </c>
      <c r="P33">
        <v>0</v>
      </c>
      <c r="Q33">
        <v>0</v>
      </c>
      <c r="R33">
        <v>1</v>
      </c>
      <c r="S33" s="1">
        <v>-8.0000000000000002E-8</v>
      </c>
      <c r="T33" s="1">
        <v>1</v>
      </c>
      <c r="U33" s="1">
        <v>0.75470000000000004</v>
      </c>
      <c r="V33" s="1">
        <v>1</v>
      </c>
      <c r="W33" s="1">
        <v>23.628</v>
      </c>
      <c r="X33" s="1">
        <v>23.628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1</v>
      </c>
      <c r="AH33">
        <v>-25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</row>
    <row r="34" spans="1:47" x14ac:dyDescent="0.2">
      <c r="A34">
        <v>31</v>
      </c>
      <c r="B34">
        <v>0</v>
      </c>
      <c r="C34" t="s">
        <v>164</v>
      </c>
      <c r="D34" t="s">
        <v>156</v>
      </c>
      <c r="E34" s="1">
        <v>395</v>
      </c>
      <c r="F34" s="1">
        <v>1880</v>
      </c>
      <c r="G34" s="1">
        <v>0.16</v>
      </c>
      <c r="H34" s="29">
        <v>4.0000000000000002E-4</v>
      </c>
      <c r="I34" s="1">
        <v>126.4</v>
      </c>
      <c r="J34">
        <v>0.5</v>
      </c>
      <c r="K34">
        <v>5</v>
      </c>
      <c r="L34" s="1">
        <v>-2.8370000000000001E-4</v>
      </c>
      <c r="M34" s="1">
        <v>-9.2560000000000001E-13</v>
      </c>
      <c r="N34" s="1">
        <v>-22490000</v>
      </c>
      <c r="O34" s="1">
        <v>-217614192.4095009</v>
      </c>
      <c r="P34" s="1">
        <v>-6935433.015423419</v>
      </c>
      <c r="Q34">
        <v>0</v>
      </c>
      <c r="R34">
        <v>1</v>
      </c>
      <c r="S34" s="1">
        <v>-8.0000000000000002E-8</v>
      </c>
      <c r="T34" s="1">
        <v>1</v>
      </c>
      <c r="U34" s="1">
        <v>0.58099999999999996</v>
      </c>
      <c r="V34" s="1">
        <v>1</v>
      </c>
      <c r="W34" s="1">
        <v>126.4</v>
      </c>
      <c r="X34" s="1">
        <v>126.4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1</v>
      </c>
      <c r="AH34">
        <v>-25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</row>
    <row r="35" spans="1:47" x14ac:dyDescent="0.2">
      <c r="A35">
        <v>32</v>
      </c>
      <c r="B35">
        <v>0</v>
      </c>
      <c r="C35" t="s">
        <v>165</v>
      </c>
      <c r="D35" t="s">
        <v>156</v>
      </c>
      <c r="E35" s="1">
        <v>650</v>
      </c>
      <c r="F35" s="1">
        <v>1880</v>
      </c>
      <c r="G35" s="1">
        <v>0.14000000000000001</v>
      </c>
      <c r="H35" s="29">
        <v>4.0000000000000002E-4</v>
      </c>
      <c r="I35" s="1">
        <v>126.4</v>
      </c>
      <c r="J35">
        <v>0.5</v>
      </c>
      <c r="K35">
        <v>5</v>
      </c>
      <c r="L35" s="1">
        <v>-2.8370000000000001E-4</v>
      </c>
      <c r="M35" s="1">
        <v>-9.2560000000000001E-13</v>
      </c>
      <c r="N35" s="1">
        <v>-22490000</v>
      </c>
      <c r="O35" s="1">
        <v>-217614192.4095009</v>
      </c>
      <c r="P35" s="1">
        <v>-6935433.015423419</v>
      </c>
      <c r="Q35">
        <v>0</v>
      </c>
      <c r="R35">
        <v>1</v>
      </c>
      <c r="S35" s="1">
        <v>-8.0000000000000002E-8</v>
      </c>
      <c r="T35" s="1">
        <v>1</v>
      </c>
      <c r="U35" s="1">
        <v>0.58099999999999996</v>
      </c>
      <c r="V35" s="1">
        <v>1</v>
      </c>
      <c r="W35" s="1">
        <v>126.4</v>
      </c>
      <c r="X35" s="1">
        <v>126.4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1</v>
      </c>
      <c r="AH35">
        <v>-25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</row>
    <row r="36" spans="1:47" x14ac:dyDescent="0.2">
      <c r="A36">
        <v>33</v>
      </c>
      <c r="B36">
        <v>0</v>
      </c>
      <c r="C36" t="s">
        <v>166</v>
      </c>
      <c r="D36" t="s">
        <v>158</v>
      </c>
      <c r="E36" s="1">
        <v>80</v>
      </c>
      <c r="F36" s="1">
        <v>840</v>
      </c>
      <c r="G36" s="1">
        <v>0.04</v>
      </c>
      <c r="H36">
        <v>0</v>
      </c>
      <c r="I36" s="1">
        <v>0.4032</v>
      </c>
      <c r="J36">
        <v>0.5</v>
      </c>
      <c r="K36">
        <v>4</v>
      </c>
      <c r="L36" s="1">
        <v>1.58E-10</v>
      </c>
      <c r="M36">
        <v>0</v>
      </c>
      <c r="N36">
        <v>0</v>
      </c>
      <c r="O36">
        <v>0</v>
      </c>
      <c r="P36">
        <v>0</v>
      </c>
      <c r="Q36">
        <v>0</v>
      </c>
      <c r="R36">
        <v>1</v>
      </c>
      <c r="S36" s="1">
        <v>-8.0000000000000002E-8</v>
      </c>
      <c r="T36" s="1">
        <v>1</v>
      </c>
      <c r="U36" s="1">
        <v>0.45319999999999999</v>
      </c>
      <c r="V36" s="1">
        <v>0.99940499999999999</v>
      </c>
      <c r="W36" s="1">
        <v>0.4032</v>
      </c>
      <c r="X36" s="1">
        <v>0.4032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1</v>
      </c>
      <c r="AH36">
        <v>-25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</row>
    <row r="37" spans="1:47" x14ac:dyDescent="0.2">
      <c r="A37">
        <v>34</v>
      </c>
      <c r="B37">
        <v>0</v>
      </c>
      <c r="C37" s="61" t="s">
        <v>168</v>
      </c>
      <c r="D37" t="s">
        <v>159</v>
      </c>
      <c r="E37" s="1">
        <v>530</v>
      </c>
      <c r="F37" s="1">
        <v>1880</v>
      </c>
      <c r="G37" s="1">
        <v>0.14000000000000001</v>
      </c>
      <c r="H37" s="29">
        <v>4.0000000000000002E-4</v>
      </c>
      <c r="I37" s="1">
        <v>159</v>
      </c>
      <c r="J37">
        <v>0.5</v>
      </c>
      <c r="K37">
        <v>5</v>
      </c>
      <c r="L37" s="1">
        <v>-2.773E-5</v>
      </c>
      <c r="M37" s="1">
        <v>2.3849999999999999E-13</v>
      </c>
      <c r="N37" s="1">
        <v>-96170000</v>
      </c>
      <c r="O37">
        <v>-162790728.03755549</v>
      </c>
      <c r="P37" s="1">
        <v>-30171529.659811009</v>
      </c>
      <c r="Q37">
        <v>0</v>
      </c>
      <c r="R37">
        <v>1</v>
      </c>
      <c r="S37" s="1">
        <v>-4.9999999999999998E-8</v>
      </c>
      <c r="T37" s="1">
        <v>1</v>
      </c>
      <c r="U37" s="1">
        <v>0.56999999999999995</v>
      </c>
      <c r="V37" s="1">
        <v>1</v>
      </c>
      <c r="W37" s="1">
        <v>159</v>
      </c>
      <c r="X37" s="1">
        <v>159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1</v>
      </c>
      <c r="AH37">
        <v>-25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</row>
    <row r="38" spans="1:47" x14ac:dyDescent="0.2">
      <c r="A38">
        <v>35</v>
      </c>
      <c r="B38">
        <v>0</v>
      </c>
      <c r="C38" s="61" t="s">
        <v>167</v>
      </c>
      <c r="D38" t="s">
        <v>45</v>
      </c>
      <c r="E38" s="1">
        <v>2200</v>
      </c>
      <c r="F38" s="1">
        <v>830</v>
      </c>
      <c r="G38" s="1">
        <v>1.5</v>
      </c>
      <c r="H38">
        <v>0</v>
      </c>
      <c r="I38" s="1">
        <v>146</v>
      </c>
      <c r="J38">
        <v>0.5</v>
      </c>
      <c r="K38">
        <v>6</v>
      </c>
      <c r="L38">
        <v>-3.21E-13</v>
      </c>
      <c r="M38" s="1">
        <v>1.3709999999999999E-12</v>
      </c>
      <c r="N38">
        <v>0</v>
      </c>
      <c r="O38">
        <v>0</v>
      </c>
      <c r="P38">
        <v>0</v>
      </c>
      <c r="Q38">
        <v>0</v>
      </c>
      <c r="R38">
        <v>1</v>
      </c>
      <c r="S38" s="1">
        <v>-4.9999999999999998E-8</v>
      </c>
      <c r="T38" s="1">
        <v>1</v>
      </c>
      <c r="U38" s="1">
        <v>0.71850000000000003</v>
      </c>
      <c r="V38" s="1">
        <v>1.0326438356164382</v>
      </c>
      <c r="W38" s="1">
        <v>146</v>
      </c>
      <c r="X38" s="1">
        <v>146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1</v>
      </c>
      <c r="AH38">
        <v>-25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</row>
    <row r="39" spans="1:47" x14ac:dyDescent="0.2">
      <c r="A39">
        <v>36</v>
      </c>
      <c r="B39">
        <v>0</v>
      </c>
      <c r="C39" s="61" t="s">
        <v>170</v>
      </c>
      <c r="D39" s="61" t="s">
        <v>171</v>
      </c>
      <c r="E39" s="1">
        <v>650</v>
      </c>
      <c r="F39" s="1">
        <v>840</v>
      </c>
      <c r="G39" s="1">
        <v>0.18</v>
      </c>
      <c r="H39">
        <v>0</v>
      </c>
      <c r="I39" s="1">
        <v>42.965000000000003</v>
      </c>
      <c r="J39">
        <v>0.5</v>
      </c>
      <c r="K39">
        <v>4</v>
      </c>
      <c r="L39" s="1">
        <v>3E-11</v>
      </c>
      <c r="M39">
        <v>0</v>
      </c>
      <c r="N39">
        <v>0</v>
      </c>
      <c r="O39">
        <v>0</v>
      </c>
      <c r="P39">
        <v>0</v>
      </c>
      <c r="Q39">
        <v>0</v>
      </c>
      <c r="R39">
        <v>50</v>
      </c>
      <c r="S39" s="1">
        <v>42.965000000000003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1</v>
      </c>
      <c r="AH39">
        <v>-25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</row>
    <row r="40" spans="1:47" x14ac:dyDescent="0.2">
      <c r="A40">
        <v>37</v>
      </c>
      <c r="B40">
        <v>0</v>
      </c>
      <c r="C40" s="61" t="s">
        <v>170</v>
      </c>
      <c r="D40" s="61" t="s">
        <v>171</v>
      </c>
      <c r="E40" s="1">
        <v>650</v>
      </c>
      <c r="F40" s="1">
        <v>840</v>
      </c>
      <c r="G40" s="1">
        <v>0.18</v>
      </c>
      <c r="H40">
        <v>0</v>
      </c>
      <c r="I40" s="1">
        <v>42.965000000000003</v>
      </c>
      <c r="J40">
        <v>0.5</v>
      </c>
      <c r="K40">
        <v>4</v>
      </c>
      <c r="L40" s="1">
        <v>3E-11</v>
      </c>
      <c r="M40">
        <v>0</v>
      </c>
      <c r="N40">
        <v>0</v>
      </c>
      <c r="O40">
        <v>0</v>
      </c>
      <c r="P40">
        <v>0</v>
      </c>
      <c r="Q40">
        <v>0</v>
      </c>
      <c r="R40" s="2">
        <v>1</v>
      </c>
      <c r="S40" s="1">
        <v>-8.0000000000000002E-8</v>
      </c>
      <c r="T40" s="7">
        <v>0.4</v>
      </c>
      <c r="U40" s="62">
        <v>3.2</v>
      </c>
      <c r="V40" s="1">
        <v>1</v>
      </c>
      <c r="W40" s="1">
        <v>42.965000000000003</v>
      </c>
      <c r="X40" s="1">
        <v>42.965000000000003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1</v>
      </c>
      <c r="AH40">
        <v>-25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</row>
    <row r="41" spans="1:47" x14ac:dyDescent="0.2">
      <c r="A41">
        <v>38</v>
      </c>
      <c r="B41">
        <v>0</v>
      </c>
      <c r="C41" s="61" t="s">
        <v>173</v>
      </c>
      <c r="D41" s="61" t="s">
        <v>172</v>
      </c>
      <c r="E41" s="1">
        <v>600</v>
      </c>
      <c r="F41" s="1">
        <v>840</v>
      </c>
      <c r="G41" s="1">
        <v>0.18</v>
      </c>
      <c r="H41">
        <v>0</v>
      </c>
      <c r="I41" s="1">
        <v>300</v>
      </c>
      <c r="J41">
        <v>0.5</v>
      </c>
      <c r="K41" s="2">
        <v>7</v>
      </c>
      <c r="L41" s="7">
        <v>1.7600000000000001E-10</v>
      </c>
      <c r="M41" s="7">
        <v>0.11600000000000001</v>
      </c>
      <c r="N41" s="7">
        <v>6.28E-3</v>
      </c>
      <c r="O41" s="2">
        <v>4.1900000000000004</v>
      </c>
      <c r="P41" s="2">
        <v>0</v>
      </c>
      <c r="Q41" s="2">
        <v>0</v>
      </c>
      <c r="R41" s="2">
        <v>1</v>
      </c>
      <c r="S41" s="1">
        <v>-8.0000000000000002E-8</v>
      </c>
      <c r="T41" s="7">
        <v>0.4</v>
      </c>
      <c r="U41" s="62">
        <v>3.2</v>
      </c>
      <c r="V41" s="1">
        <v>1</v>
      </c>
      <c r="W41" s="1">
        <v>300</v>
      </c>
      <c r="X41" s="1">
        <v>300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1</v>
      </c>
      <c r="AH41">
        <v>-25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</row>
    <row r="42" spans="1:47" x14ac:dyDescent="0.2">
      <c r="A42">
        <v>39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</row>
    <row r="43" spans="1:47" x14ac:dyDescent="0.2">
      <c r="A43">
        <v>40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</row>
    <row r="44" spans="1:47" x14ac:dyDescent="0.2">
      <c r="A44">
        <v>41</v>
      </c>
      <c r="B44">
        <v>0</v>
      </c>
      <c r="C44" s="64" t="s">
        <v>174</v>
      </c>
      <c r="D44" s="61" t="s">
        <v>185</v>
      </c>
      <c r="E44" s="67">
        <v>1900</v>
      </c>
      <c r="F44" s="67">
        <v>850</v>
      </c>
      <c r="G44" s="67">
        <v>0.8</v>
      </c>
      <c r="H44">
        <v>0</v>
      </c>
      <c r="I44">
        <v>56.25</v>
      </c>
      <c r="J44" s="67">
        <v>0.4</v>
      </c>
      <c r="K44">
        <v>4</v>
      </c>
      <c r="L44" s="1">
        <v>7.7325814509054439E-11</v>
      </c>
      <c r="M44">
        <v>0</v>
      </c>
      <c r="N44">
        <v>0</v>
      </c>
      <c r="O44">
        <v>0</v>
      </c>
      <c r="P44">
        <v>0</v>
      </c>
      <c r="Q44">
        <v>0</v>
      </c>
      <c r="R44">
        <v>50</v>
      </c>
      <c r="S44">
        <v>56.25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1</v>
      </c>
      <c r="AH44">
        <v>-25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</row>
    <row r="45" spans="1:47" x14ac:dyDescent="0.2">
      <c r="A45">
        <v>42</v>
      </c>
      <c r="B45">
        <v>0</v>
      </c>
      <c r="C45" s="65" t="s">
        <v>175</v>
      </c>
      <c r="D45" s="61" t="s">
        <v>185</v>
      </c>
      <c r="E45" s="63">
        <v>30</v>
      </c>
      <c r="F45" s="63">
        <v>1500</v>
      </c>
      <c r="G45" s="63">
        <v>0.04</v>
      </c>
      <c r="H45">
        <v>0</v>
      </c>
      <c r="I45">
        <v>0</v>
      </c>
      <c r="J45" s="67">
        <v>0.4</v>
      </c>
      <c r="K45">
        <v>4</v>
      </c>
      <c r="L45" s="1">
        <v>3.8662907254527219E-11</v>
      </c>
      <c r="M45">
        <v>0</v>
      </c>
      <c r="N45">
        <v>0</v>
      </c>
      <c r="O45">
        <v>0</v>
      </c>
      <c r="P45">
        <v>0</v>
      </c>
      <c r="Q45">
        <v>0</v>
      </c>
      <c r="R45">
        <v>50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1</v>
      </c>
      <c r="AH45">
        <v>-25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</row>
    <row r="46" spans="1:47" x14ac:dyDescent="0.2">
      <c r="A46">
        <v>43</v>
      </c>
      <c r="B46">
        <v>0</v>
      </c>
      <c r="C46" s="65" t="s">
        <v>176</v>
      </c>
      <c r="D46" s="61" t="s">
        <v>185</v>
      </c>
      <c r="E46" s="63">
        <v>1650</v>
      </c>
      <c r="F46" s="63">
        <v>850</v>
      </c>
      <c r="G46" s="63">
        <v>0.6</v>
      </c>
      <c r="H46">
        <v>0</v>
      </c>
      <c r="I46">
        <v>11.25</v>
      </c>
      <c r="J46" s="67">
        <v>0.4</v>
      </c>
      <c r="K46">
        <v>4</v>
      </c>
      <c r="L46" s="1">
        <v>2.0348898555014326E-10</v>
      </c>
      <c r="M46">
        <v>0</v>
      </c>
      <c r="N46">
        <v>0</v>
      </c>
      <c r="O46">
        <v>0</v>
      </c>
      <c r="P46">
        <v>0</v>
      </c>
      <c r="Q46">
        <v>0</v>
      </c>
      <c r="R46">
        <v>50</v>
      </c>
      <c r="S46">
        <v>11.25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1</v>
      </c>
      <c r="AH46">
        <v>-25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</row>
    <row r="47" spans="1:47" x14ac:dyDescent="0.2">
      <c r="A47">
        <v>44</v>
      </c>
      <c r="B47">
        <v>0</v>
      </c>
      <c r="C47" s="65" t="s">
        <v>177</v>
      </c>
      <c r="D47" s="61" t="s">
        <v>185</v>
      </c>
      <c r="E47" s="63">
        <v>1721</v>
      </c>
      <c r="F47" s="63">
        <v>850</v>
      </c>
      <c r="G47" s="63">
        <v>0.2</v>
      </c>
      <c r="H47">
        <v>0</v>
      </c>
      <c r="I47">
        <v>2.25</v>
      </c>
      <c r="J47" s="67">
        <v>0.4</v>
      </c>
      <c r="K47">
        <v>4</v>
      </c>
      <c r="L47" s="1">
        <v>1.4870348944048929E-10</v>
      </c>
      <c r="M47">
        <v>0</v>
      </c>
      <c r="N47">
        <v>0</v>
      </c>
      <c r="O47">
        <v>0</v>
      </c>
      <c r="P47">
        <v>0</v>
      </c>
      <c r="Q47">
        <v>0</v>
      </c>
      <c r="R47">
        <v>50</v>
      </c>
      <c r="S47">
        <v>2.25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1</v>
      </c>
      <c r="AH47">
        <v>-25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</row>
    <row r="48" spans="1:47" x14ac:dyDescent="0.2">
      <c r="A48">
        <v>45</v>
      </c>
      <c r="B48">
        <v>0</v>
      </c>
      <c r="C48" s="65" t="s">
        <v>178</v>
      </c>
      <c r="D48" s="61" t="s">
        <v>185</v>
      </c>
      <c r="E48" s="63">
        <v>850</v>
      </c>
      <c r="F48" s="63">
        <v>850</v>
      </c>
      <c r="G48" s="63">
        <v>0.2</v>
      </c>
      <c r="H48">
        <v>0</v>
      </c>
      <c r="I48">
        <v>7.875</v>
      </c>
      <c r="J48" s="67">
        <v>0.4</v>
      </c>
      <c r="K48">
        <v>4</v>
      </c>
      <c r="L48" s="1">
        <v>2.3290907984654948E-10</v>
      </c>
      <c r="M48">
        <v>0</v>
      </c>
      <c r="N48">
        <v>0</v>
      </c>
      <c r="O48">
        <v>0</v>
      </c>
      <c r="P48">
        <v>0</v>
      </c>
      <c r="Q48">
        <v>0</v>
      </c>
      <c r="R48">
        <v>50</v>
      </c>
      <c r="S48">
        <v>7.875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1</v>
      </c>
      <c r="AH48">
        <v>-25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</row>
    <row r="49" spans="1:47" ht="14.25" x14ac:dyDescent="0.2">
      <c r="A49">
        <v>46</v>
      </c>
      <c r="B49">
        <v>0</v>
      </c>
      <c r="C49" s="66" t="s">
        <v>179</v>
      </c>
      <c r="D49" s="61" t="s">
        <v>185</v>
      </c>
      <c r="E49" s="63">
        <v>60</v>
      </c>
      <c r="F49" s="63">
        <v>850</v>
      </c>
      <c r="G49" s="63">
        <v>0.04</v>
      </c>
      <c r="H49">
        <v>0</v>
      </c>
      <c r="I49">
        <v>0</v>
      </c>
      <c r="J49" s="67">
        <v>0.4</v>
      </c>
      <c r="K49">
        <v>4</v>
      </c>
      <c r="L49" s="1">
        <v>1.4870348944048929E-9</v>
      </c>
      <c r="M49">
        <v>0</v>
      </c>
      <c r="N49">
        <v>0</v>
      </c>
      <c r="O49">
        <v>0</v>
      </c>
      <c r="P49">
        <v>0</v>
      </c>
      <c r="Q49">
        <v>0</v>
      </c>
      <c r="R49">
        <v>50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1</v>
      </c>
      <c r="AH49">
        <v>-25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</row>
    <row r="50" spans="1:47" x14ac:dyDescent="0.2">
      <c r="A50">
        <v>47</v>
      </c>
      <c r="B50">
        <v>0</v>
      </c>
      <c r="C50" s="66" t="s">
        <v>180</v>
      </c>
      <c r="D50" s="61" t="s">
        <v>185</v>
      </c>
      <c r="E50" s="63">
        <v>400</v>
      </c>
      <c r="F50" s="63">
        <v>1500</v>
      </c>
      <c r="G50" s="63">
        <v>0.09</v>
      </c>
      <c r="H50">
        <v>0</v>
      </c>
      <c r="I50">
        <v>75</v>
      </c>
      <c r="J50" s="67">
        <v>0.4</v>
      </c>
      <c r="K50">
        <v>4</v>
      </c>
      <c r="L50" s="1">
        <v>9.6657268136318048E-12</v>
      </c>
      <c r="M50">
        <v>0</v>
      </c>
      <c r="N50">
        <v>0</v>
      </c>
      <c r="O50">
        <v>0</v>
      </c>
      <c r="P50">
        <v>0</v>
      </c>
      <c r="Q50">
        <v>0</v>
      </c>
      <c r="R50">
        <v>50</v>
      </c>
      <c r="S50">
        <v>75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1</v>
      </c>
      <c r="AH50">
        <v>-25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</row>
    <row r="51" spans="1:47" x14ac:dyDescent="0.2">
      <c r="A51">
        <v>48</v>
      </c>
      <c r="B51">
        <v>0</v>
      </c>
      <c r="C51" s="66" t="s">
        <v>181</v>
      </c>
      <c r="D51" s="61" t="s">
        <v>185</v>
      </c>
      <c r="E51" s="63">
        <v>1950</v>
      </c>
      <c r="F51" s="63">
        <v>850</v>
      </c>
      <c r="G51" s="63">
        <v>1.6</v>
      </c>
      <c r="H51">
        <v>0</v>
      </c>
      <c r="I51">
        <v>47.5</v>
      </c>
      <c r="J51" s="67">
        <v>0.4</v>
      </c>
      <c r="K51">
        <v>4</v>
      </c>
      <c r="L51" s="1">
        <v>2.5775271503018147E-11</v>
      </c>
      <c r="M51">
        <v>0</v>
      </c>
      <c r="N51">
        <v>0</v>
      </c>
      <c r="O51">
        <v>0</v>
      </c>
      <c r="P51">
        <v>0</v>
      </c>
      <c r="Q51">
        <v>0</v>
      </c>
      <c r="R51">
        <v>50</v>
      </c>
      <c r="S51">
        <v>47.5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1</v>
      </c>
      <c r="AH51">
        <v>-25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</row>
    <row r="52" spans="1:47" x14ac:dyDescent="0.2">
      <c r="A52">
        <v>49</v>
      </c>
      <c r="B52">
        <v>0</v>
      </c>
      <c r="C52" s="66" t="s">
        <v>182</v>
      </c>
      <c r="D52" s="61" t="s">
        <v>185</v>
      </c>
      <c r="E52" s="63">
        <v>2300</v>
      </c>
      <c r="F52" s="63">
        <v>850</v>
      </c>
      <c r="G52" s="63">
        <v>1.6</v>
      </c>
      <c r="H52">
        <v>0</v>
      </c>
      <c r="I52">
        <v>106.25</v>
      </c>
      <c r="J52" s="67">
        <v>0.4</v>
      </c>
      <c r="K52">
        <v>4</v>
      </c>
      <c r="L52" s="1">
        <v>1.0739696459590893E-11</v>
      </c>
      <c r="M52">
        <v>0</v>
      </c>
      <c r="N52">
        <v>0</v>
      </c>
      <c r="O52">
        <v>0</v>
      </c>
      <c r="P52">
        <v>0</v>
      </c>
      <c r="Q52">
        <v>0</v>
      </c>
      <c r="R52">
        <v>50</v>
      </c>
      <c r="S52">
        <v>106.25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1</v>
      </c>
      <c r="AH52">
        <v>-25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</row>
    <row r="53" spans="1:47" x14ac:dyDescent="0.2">
      <c r="A53">
        <v>50</v>
      </c>
      <c r="B53">
        <v>0</v>
      </c>
      <c r="C53" s="65" t="s">
        <v>183</v>
      </c>
      <c r="D53" s="61" t="s">
        <v>185</v>
      </c>
      <c r="E53" s="63">
        <v>1000</v>
      </c>
      <c r="F53" s="63">
        <v>1500</v>
      </c>
      <c r="G53" s="63">
        <v>0.16</v>
      </c>
      <c r="H53">
        <v>0</v>
      </c>
      <c r="I53">
        <v>0</v>
      </c>
      <c r="J53" s="67">
        <v>0.4</v>
      </c>
      <c r="K53">
        <v>4</v>
      </c>
      <c r="L53" s="1">
        <v>1.2887635751509072E-13</v>
      </c>
      <c r="M53">
        <v>0</v>
      </c>
      <c r="N53">
        <v>0</v>
      </c>
      <c r="O53">
        <v>0</v>
      </c>
      <c r="P53">
        <v>0</v>
      </c>
      <c r="Q53">
        <v>0</v>
      </c>
      <c r="R53">
        <v>50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1</v>
      </c>
      <c r="AH53">
        <v>-25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</row>
    <row r="54" spans="1:47" x14ac:dyDescent="0.2">
      <c r="A54">
        <v>51</v>
      </c>
      <c r="B54">
        <v>0</v>
      </c>
      <c r="C54" s="66" t="s">
        <v>184</v>
      </c>
      <c r="D54" s="61" t="s">
        <v>185</v>
      </c>
      <c r="E54" s="63">
        <v>1</v>
      </c>
      <c r="F54" s="63">
        <v>1</v>
      </c>
      <c r="G54">
        <v>1000</v>
      </c>
      <c r="H54">
        <v>0</v>
      </c>
      <c r="I54">
        <v>0</v>
      </c>
      <c r="J54" s="67">
        <v>0.4</v>
      </c>
      <c r="K54">
        <v>4</v>
      </c>
      <c r="L54" s="1">
        <v>9.6657268136318053E-18</v>
      </c>
      <c r="M54">
        <v>0</v>
      </c>
      <c r="N54">
        <v>0</v>
      </c>
      <c r="O54">
        <v>0</v>
      </c>
      <c r="P54">
        <v>0</v>
      </c>
      <c r="Q54">
        <v>0</v>
      </c>
      <c r="R54">
        <v>50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1</v>
      </c>
      <c r="AH54">
        <v>-25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</row>
    <row r="56" spans="1:47" x14ac:dyDescent="0.2">
      <c r="A56">
        <v>1</v>
      </c>
      <c r="B56">
        <v>2</v>
      </c>
      <c r="C56">
        <v>3</v>
      </c>
      <c r="D56">
        <v>4</v>
      </c>
      <c r="E56">
        <v>5</v>
      </c>
      <c r="F56">
        <v>6</v>
      </c>
      <c r="G56">
        <v>7</v>
      </c>
      <c r="H56">
        <v>8</v>
      </c>
      <c r="I56">
        <v>9</v>
      </c>
      <c r="J56">
        <v>10</v>
      </c>
      <c r="K56">
        <v>11</v>
      </c>
      <c r="L56">
        <v>12</v>
      </c>
      <c r="M56">
        <v>13</v>
      </c>
      <c r="N56">
        <v>14</v>
      </c>
      <c r="O56">
        <v>15</v>
      </c>
      <c r="P56">
        <v>16</v>
      </c>
      <c r="Q56">
        <v>17</v>
      </c>
      <c r="R56">
        <v>18</v>
      </c>
      <c r="S56">
        <v>19</v>
      </c>
      <c r="T56">
        <v>20</v>
      </c>
      <c r="U56">
        <v>21</v>
      </c>
      <c r="V56">
        <v>22</v>
      </c>
      <c r="W56">
        <v>23</v>
      </c>
      <c r="X56">
        <v>24</v>
      </c>
      <c r="Y56">
        <v>25</v>
      </c>
      <c r="Z56">
        <v>26</v>
      </c>
      <c r="AA56">
        <v>27</v>
      </c>
      <c r="AB56">
        <v>28</v>
      </c>
      <c r="AC56">
        <v>29</v>
      </c>
      <c r="AD56">
        <v>30</v>
      </c>
      <c r="AE56">
        <v>31</v>
      </c>
      <c r="AF56">
        <v>32</v>
      </c>
      <c r="AG56">
        <v>33</v>
      </c>
      <c r="AH56">
        <v>34</v>
      </c>
      <c r="AI56">
        <v>35</v>
      </c>
      <c r="AJ56">
        <v>36</v>
      </c>
      <c r="AK56">
        <v>37</v>
      </c>
      <c r="AL56">
        <v>38</v>
      </c>
      <c r="AM56">
        <v>39</v>
      </c>
      <c r="AN56">
        <v>40</v>
      </c>
      <c r="AO56">
        <v>41</v>
      </c>
      <c r="AP56">
        <v>42</v>
      </c>
      <c r="AQ56">
        <v>43</v>
      </c>
      <c r="AR56">
        <v>44</v>
      </c>
      <c r="AS56">
        <v>45</v>
      </c>
      <c r="AT56">
        <v>46</v>
      </c>
      <c r="AU56">
        <v>47</v>
      </c>
    </row>
  </sheetData>
  <phoneticPr fontId="3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diffusivity</vt:lpstr>
      <vt:lpstr>interface</vt:lpstr>
      <vt:lpstr>vapour permeability</vt:lpstr>
      <vt:lpstr>materials_HAMFEM</vt:lpstr>
      <vt:lpstr>interface!Print_Area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Costola</dc:creator>
  <cp:lastModifiedBy>Daniel Costola</cp:lastModifiedBy>
  <cp:lastPrinted>2010-05-20T12:39:42Z</cp:lastPrinted>
  <dcterms:created xsi:type="dcterms:W3CDTF">2010-04-26T16:22:14Z</dcterms:created>
  <dcterms:modified xsi:type="dcterms:W3CDTF">2024-07-01T16:30:23Z</dcterms:modified>
</cp:coreProperties>
</file>